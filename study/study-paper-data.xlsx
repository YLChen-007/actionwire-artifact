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$\ubuntu-20.04\root\my-project\agent-research\clawgap\design\study\"/>
    </mc:Choice>
  </mc:AlternateContent>
  <xr:revisionPtr revIDLastSave="0" documentId="13_ncr:1_{52F1733F-2DBD-4846-BB4F-92C8943C062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tudy data" sheetId="1" r:id="rId1"/>
    <sheet name="Field guide" sheetId="2" r:id="rId2"/>
  </sheets>
  <definedNames>
    <definedName name="_xlnm._FilterDatabase" localSheetId="0" hidden="1">'Study data'!$A$1:$P$98</definedName>
    <definedName name="_xlnm.Print_Titles" localSheetId="1">'Field guide'!$1:$1</definedName>
    <definedName name="_xlnm.Print_Titles" localSheetId="0">'Study data'!$1:$1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B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 data exporter</author>
  </authors>
  <commentList>
    <comment ref="A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
Original source_row_number: 9
Raw JSON: /root/project/xclaw-project/goclaw/llm-enhance/official-cve/issue-security/Issue-goclaw-44.json
Raw cve_id: N/A</t>
        </r>
      </text>
    </comment>
    <comment ref="A3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
Original source_row_number: 14
Raw JSON: /root/project/xclaw-project/goclaw/llm-enhance/official-cve/issue-security/Issue-goclaw-945.json
Raw cve_id: Not recorded</t>
        </r>
      </text>
    </comment>
    <comment ref="A4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
Original source_row_number: 19
Raw JSON: /root/project/xclaw-project/hermes-agent/llm-enhance/official-cve/issue-security/Issue-hermes-agent-220.json
Raw cve_id: N/A</t>
        </r>
      </text>
    </comment>
    <comment ref="A5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
Original source_row_number: 33
Raw JSON: /root/project/xclaw-project/hermes-agent/llm-enhance/official-cve/issue-security/Issue-hermes-agent-8033.json
Raw cve_id: N/A</t>
        </r>
      </text>
    </comment>
    <comment ref="A6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
Original source_row_number: 34
Raw JSON: /root/project/xclaw-project/hermes-agent/llm-enhance/official-cve/issue-security/Issue-hermes-agent-8034.json
Raw cve_id: N/A</t>
        </r>
      </text>
    </comment>
    <comment ref="A7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
Original source_row_number: 35
Raw JSON: /root/project/xclaw-project/hermes-agent/llm-enhance/official-cve/issue-security/Issue-hermes-agent-8035.json
Raw cve_id: N/A</t>
        </r>
      </text>
    </comment>
    <comment ref="A8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
Original source_row_number: 42
Raw JSON: /root/project/xclaw-project/moltis/llm-enhance/official-cve/issue-security/Issue-moltis-814.json
Raw cve_id: N/A</t>
        </r>
      </text>
    </comment>
    <comment ref="A9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
Original source_row_number: 44
Raw JSON: /root/project/xclaw-project/nanobot/llm-enhance/official-cve/issue-security/Issue-nanobot-1817.json
Raw cve_id: Not recorded</t>
        </r>
      </text>
    </comment>
    <comment ref="A10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10
Original source_row_number: 45
Raw JSON: /root/project/xclaw-project/nanobot/llm-enhance/official-cve/issue-security/Issue-nanobot-2826.json
Raw cve_id: N/A</t>
        </r>
      </text>
    </comment>
    <comment ref="A11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11
Original source_row_number: 46
Raw JSON: /root/project/xclaw-project/nanobot/llm-enhance/official-cve/issue-security/Issue-nanobot-845.json
Raw cve_id: N/A</t>
        </r>
      </text>
    </comment>
    <comment ref="A12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12
Original source_row_number: 48
Raw JSON: /root/project/xclaw-project/nanoclaw/llm-enhance/official-cve/issue-security/Issue-nanoclaw-458.json
Raw cve_id: N/A</t>
        </r>
      </text>
    </comment>
    <comment ref="A13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13
Original source_row_number: 49
Raw JSON: /root/project/xclaw-project/nullclaw/llm-enhance/official-cve/issue-security/Issue-nullclaw-202.json
Raw cve_id: N/A</t>
        </r>
      </text>
    </comment>
    <comment ref="A14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14
Original source_row_number: 54
Raw JSON: /root/project/xclaw-project/openclaw-cn/llm-enhance/official-cve/issue-security/Issue-openclaw-cn-396.json
Raw cve_id: N/A</t>
        </r>
      </text>
    </comment>
    <comment ref="A15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15
Original source_row_number: 61
Raw JSON: /root/project/xclaw-project/openclaw/llm-enhance/official-cve/Advisory-GHSA-3h2q-j2v4-6w5r.json
Raw cve_id: Advisory-GHSA-3h2q-j2v4-6w5r</t>
        </r>
      </text>
    </comment>
    <comment ref="A16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16
Original source_row_number: 62
Raw JSON: /root/project/xclaw-project/openclaw/llm-enhance/official-cve/Advisory-GHSA-3jx4-q2m7-r496.json
Raw cve_id: GHSA-3jx4-q2m7-r496</t>
        </r>
      </text>
    </comment>
    <comment ref="A17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17
Original source_row_number: 65
Raw JSON: /root/project/xclaw-project/openclaw/llm-enhance/official-cve/Advisory-GHSA-48wf-g7cp-gr3m.json
Raw cve_id: CVE-2026-31992</t>
        </r>
      </text>
    </comment>
    <comment ref="A18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18
Original source_row_number: 67
Raw JSON: /root/project/xclaw-project/openclaw/llm-enhance/official-cve/Advisory-GHSA-5326-6f73-m96w.json
Raw cve_id: GHSA-5326-6f73-m96w</t>
        </r>
      </text>
    </comment>
    <comment ref="A19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19
Original source_row_number: 68
Raw JSON: /root/project/xclaw-project/openclaw/llm-enhance/official-cve/Advisory-GHSA-56f2-hvwg-5743.json
Raw cve_id: Advisory-GHSA-56f2-hvwg-5743</t>
        </r>
      </text>
    </comment>
    <comment ref="A20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20
Original source_row_number: 70
Raw JSON: /root/project/xclaw-project/openclaw/llm-enhance/official-cve/Advisory-GHSA-5rp4-cwgh-gvwq.json
Raw cve_id: GHSA-5rp4-cwgh-gvwq</t>
        </r>
      </text>
    </comment>
    <comment ref="A21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21
Original source_row_number: 71
Raw JSON: /root/project/xclaw-project/openclaw/llm-enhance/official-cve/Advisory-GHSA-6rcp-vxwf-3mfp.json
Raw cve_id: N/A</t>
        </r>
      </text>
    </comment>
    <comment ref="A22" authorId="0" shapeId="0" xr:uid="{00000000-0006-0000-0000-00001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22
Original source_row_number: 72
Raw JSON: /root/project/xclaw-project/openclaw/llm-enhance/official-cve/Advisory-GHSA-74WF-H43J-VVMJ.json
Raw cve_id: GHSA-74WF-H43J-VVMJ</t>
        </r>
      </text>
    </comment>
    <comment ref="A23" authorId="0" shapeId="0" xr:uid="{00000000-0006-0000-0000-00001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23
Original source_row_number: 73
Raw JSON: /root/project/xclaw-project/openclaw/llm-enhance/official-cve/Advisory-GHSA-796m-2973-wc5q.json
Raw cve_id: GHSA-796m-2973-wc5q</t>
        </r>
      </text>
    </comment>
    <comment ref="A24" authorId="0" shapeId="0" xr:uid="{00000000-0006-0000-0000-00001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24
Original source_row_number: 74
Raw JSON: /root/project/xclaw-project/openclaw/llm-enhance/official-cve/Advisory-GHSA-7977-c43c-xpwj.json
Raw cve_id: CVE-2026-28363</t>
        </r>
      </text>
    </comment>
    <comment ref="A25" authorId="0" shapeId="0" xr:uid="{00000000-0006-0000-0000-00001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25
Original source_row_number: 75
Raw JSON: /root/project/xclaw-project/openclaw/llm-enhance/official-cve/Advisory-GHSA-7ff8-xjh3-mgh6.json
Raw cve_id: GHSA-7ff8-xjh3-mgh6</t>
        </r>
      </text>
    </comment>
    <comment ref="A26" authorId="0" shapeId="0" xr:uid="{00000000-0006-0000-0000-00001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26
Original source_row_number: 80
Raw JSON: /root/project/xclaw-project/openclaw/llm-enhance/official-cve/Advisory-GHSA-8J9W-9PM5-PV8M.json
Raw cve_id: GHSA-8J9W-9PM5-PV8M</t>
        </r>
      </text>
    </comment>
    <comment ref="A27" authorId="0" shapeId="0" xr:uid="{00000000-0006-0000-0000-00001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27
Original source_row_number: 82
Raw JSON: /root/project/xclaw-project/openclaw/llm-enhance/official-cve/Advisory-GHSA-8mf7-vv8w-hjr2.json
Raw cve_id: GHSA-8mf7-vv8w-hjr2</t>
        </r>
      </text>
    </comment>
    <comment ref="A28" authorId="0" shapeId="0" xr:uid="{00000000-0006-0000-0000-00001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28
Original source_row_number: 83
Raw JSON: /root/project/xclaw-project/openclaw/llm-enhance/official-cve/Advisory-GHSA-8px5-2gfr-7ph6.json
Raw cve_id: N/A</t>
        </r>
      </text>
    </comment>
    <comment ref="A29" authorId="0" shapeId="0" xr:uid="{00000000-0006-0000-0000-00001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29
Original source_row_number: 86
Raw JSON: /root/project/xclaw-project/openclaw/llm-enhance/official-cve/Advisory-GHSA-9q2p-vc84-2rwm.json
Raw cve_id: GHSA-9q2p-vc84-2rwm</t>
        </r>
      </text>
    </comment>
    <comment ref="A30" authorId="0" shapeId="0" xr:uid="{00000000-0006-0000-0000-00001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30
Original source_row_number: 94
Raw JSON: /root/project/xclaw-project/openclaw/llm-enhance/official-cve/Advisory-GHSA-ccg8-46r6-9qgj.json
Raw cve_id: GHSA-ccg8-46r6-9qgj</t>
        </r>
      </text>
    </comment>
    <comment ref="A31" authorId="0" shapeId="0" xr:uid="{00000000-0006-0000-0000-00001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31
Original source_row_number: 96
Raw JSON: /root/project/xclaw-project/openclaw/llm-enhance/official-cve/Advisory-GHSA-f8r2-vg7x-gh8m.json
Raw cve_id: GHSA-f8r2-vg7x-gh8m</t>
        </r>
      </text>
    </comment>
    <comment ref="A32" authorId="0" shapeId="0" xr:uid="{00000000-0006-0000-0000-00001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32
Original source_row_number: 108
Raw JSON: /root/project/xclaw-project/openclaw/llm-enhance/official-cve/Advisory-GHSA-jj82-76v6-933r.json
Raw cve_id: CVE-2026-27566</t>
        </r>
      </text>
    </comment>
    <comment ref="A33" authorId="0" shapeId="0" xr:uid="{00000000-0006-0000-0000-00002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33
Original source_row_number: 110
Raw JSON: /root/project/xclaw-project/openclaw/llm-enhance/official-cve/Advisory-GHSA-jq4x-98m3-ggq6.json
Raw cve_id: GHSA-jq4x-98m3-ggq6</t>
        </r>
      </text>
    </comment>
    <comment ref="A34" authorId="0" shapeId="0" xr:uid="{00000000-0006-0000-0000-00002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34
Original source_row_number: 112
Raw JSON: /root/project/xclaw-project/openclaw/llm-enhance/official-cve/Advisory-GHSA-jrvc-8ff5-2f9f.json
Raw cve_id: CVE-2026-26324</t>
        </r>
      </text>
    </comment>
    <comment ref="A35" authorId="0" shapeId="0" xr:uid="{00000000-0006-0000-0000-00002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35
Original source_row_number: 119
Raw JSON: /root/project/xclaw-project/openclaw/llm-enhance/official-cve/Advisory-GHSA-qcc4-p59m-p54m.json
Raw cve_id: GHSA-qcc4-p59m-p54m</t>
        </r>
      </text>
    </comment>
    <comment ref="A36" authorId="0" shapeId="0" xr:uid="{00000000-0006-0000-0000-00002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36
Original source_row_number: 120
Raw JSON: /root/project/xclaw-project/openclaw/llm-enhance/official-cve/Advisory-GHSA-qhrr-grqp-6x2g.json
Raw cve_id: GHSA-qhrr-grqp-6x2g</t>
        </r>
      </text>
    </comment>
    <comment ref="A37" authorId="0" shapeId="0" xr:uid="{00000000-0006-0000-0000-00002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37
Original source_row_number: 124
Raw JSON: /root/project/xclaw-project/openclaw/llm-enhance/official-cve/Advisory-GHSA-r6qf-8968-wj9q.json
Raw cve_id: CVE-2026-27183</t>
        </r>
      </text>
    </comment>
    <comment ref="A38" authorId="0" shapeId="0" xr:uid="{00000000-0006-0000-0000-00002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38
Original source_row_number: 139
Raw JSON: /root/project/xclaw-project/openclaw/llm-enhance/official-cve/Advisory-GHSA-xrgv-34cc-q765.json
Raw cve_id: GHSA-xrgv-34cc-q765</t>
        </r>
      </text>
    </comment>
    <comment ref="A39" authorId="0" shapeId="0" xr:uid="{00000000-0006-0000-0000-00002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39
Original source_row_number: 145
Raw JSON: /root/project/xclaw-project/openclaw/llm-enhance/official-cve/Auth_Bypass/Advisory-GHSA-7ggg-pvrf-458v.json
Raw cve_id: Unknown</t>
        </r>
      </text>
    </comment>
    <comment ref="A40" authorId="0" shapeId="0" xr:uid="{00000000-0006-0000-0000-00002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40
Original source_row_number: 151
Raw JSON: /root/project/xclaw-project/openclaw/llm-enhance/official-cve/Auth_Bypass/Advisory-GHSA-JCCR-RRW2-VC8H.json
Raw cve_id: GHSA-JCCR-RRW2-VC8H</t>
        </r>
      </text>
    </comment>
    <comment ref="A41" authorId="0" shapeId="0" xr:uid="{00000000-0006-0000-0000-00002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41
Original source_row_number: 155
Raw JSON: /root/project/xclaw-project/openclaw/llm-enhance/official-cve/Auth_Bypass/Advisory-GHSA-XQ94-R468-QWGJ.json
Raw cve_id: N/A</t>
        </r>
      </text>
    </comment>
    <comment ref="A42" authorId="0" shapeId="0" xr:uid="{00000000-0006-0000-0000-00002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42
Original source_row_number: 160
Raw JSON: /root/project/xclaw-project/openclaw/llm-enhance/official-cve/Auth_Bypass/Advisory-GHSA-q2gc-xjqw-qp89.json
Raw cve_id: N/A</t>
        </r>
      </text>
    </comment>
    <comment ref="A43" authorId="0" shapeId="0" xr:uid="{00000000-0006-0000-0000-00002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43
Original source_row_number: 162
Raw JSON: /root/project/xclaw-project/openclaw/llm-enhance/official-cve/Auth_Bypass/Advisory-GHSA-vr5g-mmx7-h897.json
Raw cve_id: N/A</t>
        </r>
      </text>
    </comment>
    <comment ref="A44" authorId="0" shapeId="0" xr:uid="{00000000-0006-0000-0000-00002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44
Original source_row_number: 165
Raw JSON: /root/project/xclaw-project/openclaw/llm-enhance/official-cve/Auth_Bypass/CVE-2026-22169.json
Raw cve_id: CVE-2026-22169</t>
        </r>
      </text>
    </comment>
    <comment ref="A45" authorId="0" shapeId="0" xr:uid="{00000000-0006-0000-0000-00002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45
Original source_row_number: 166
Raw JSON: /root/project/xclaw-project/openclaw/llm-enhance/official-cve/Auth_Bypass/CVE-2026-22175.json
Raw cve_id: CVE-2026-22175</t>
        </r>
      </text>
    </comment>
    <comment ref="A46" authorId="0" shapeId="0" xr:uid="{00000000-0006-0000-0000-00002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46
Original source_row_number: 167
Raw JSON: /root/project/xclaw-project/openclaw/llm-enhance/official-cve/Auth_Bypass/CVE-2026-22179.json
Raw cve_id: CVE-2026-22179</t>
        </r>
      </text>
    </comment>
    <comment ref="A47" authorId="0" shapeId="0" xr:uid="{00000000-0006-0000-0000-00002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47
Original source_row_number: 168
Raw JSON: /root/project/xclaw-project/openclaw/llm-enhance/official-cve/Auth_Bypass/CVE-2026-26322.json
Raw cve_id: CVE-2026-26322</t>
        </r>
      </text>
    </comment>
    <comment ref="A48" authorId="0" shapeId="0" xr:uid="{00000000-0006-0000-0000-00002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48
Original source_row_number: 169
Raw JSON: /root/project/xclaw-project/openclaw/llm-enhance/official-cve/Auth_Bypass/CVE-2026-26325.json
Raw cve_id: CVE-2026-26325</t>
        </r>
      </text>
    </comment>
    <comment ref="A49" authorId="0" shapeId="0" xr:uid="{00000000-0006-0000-0000-00003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49
Original source_row_number: 171
Raw JSON: /root/project/xclaw-project/openclaw/llm-enhance/official-cve/Auth_Bypass/CVE-2026-27484.json
Raw cve_id: CVE-2026-27484</t>
        </r>
      </text>
    </comment>
    <comment ref="A50" authorId="0" shapeId="0" xr:uid="{00000000-0006-0000-0000-00003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50
Original source_row_number: 173
Raw JSON: /root/project/xclaw-project/openclaw/llm-enhance/official-cve/Auth_Bypass/CVE-2026-28391.json
Raw cve_id: CVE-2026-28391</t>
        </r>
      </text>
    </comment>
    <comment ref="A51" authorId="0" shapeId="0" xr:uid="{00000000-0006-0000-0000-00003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51
Original source_row_number: 174
Raw JSON: /root/project/xclaw-project/openclaw/llm-enhance/official-cve/Auth_Bypass/CVE-2026-28460.json
Raw cve_id: CVE-2026-28460</t>
        </r>
      </text>
    </comment>
    <comment ref="A52" authorId="0" shapeId="0" xr:uid="{00000000-0006-0000-0000-00003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52
Original source_row_number: 175
Raw JSON: /root/project/xclaw-project/openclaw/llm-enhance/official-cve/Auth_Bypass/CVE-2026-28463.json
Raw cve_id: CVE-2026-28463</t>
        </r>
      </text>
    </comment>
    <comment ref="A53" authorId="0" shapeId="0" xr:uid="{00000000-0006-0000-0000-00003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53
Original source_row_number: 176
Raw JSON: /root/project/xclaw-project/openclaw/llm-enhance/official-cve/Auth_Bypass/CVE-2026-28470.json
Raw cve_id: CVE-2026-28470</t>
        </r>
      </text>
    </comment>
    <comment ref="A54" authorId="0" shapeId="0" xr:uid="{00000000-0006-0000-0000-00003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54
Original source_row_number: 178
Raw JSON: /root/project/xclaw-project/openclaw/llm-enhance/official-cve/Auth_Bypass/CVE-2026-29607.json
Raw cve_id: CVE-2026-29607</t>
        </r>
      </text>
    </comment>
    <comment ref="A55" authorId="0" shapeId="0" xr:uid="{00000000-0006-0000-0000-00003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55
Original source_row_number: 179
Raw JSON: /root/project/xclaw-project/openclaw/llm-enhance/official-cve/Auth_Bypass/CVE-2026-29608.json
Raw cve_id: CVE-2026-29608</t>
        </r>
      </text>
    </comment>
    <comment ref="A56" authorId="0" shapeId="0" xr:uid="{00000000-0006-0000-0000-00003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56
Original source_row_number: 180
Raw JSON: /root/project/xclaw-project/openclaw/llm-enhance/official-cve/Auth_Bypass/CVE-2026-31993.json
Raw cve_id: CVE-2026-31993</t>
        </r>
      </text>
    </comment>
    <comment ref="A57" authorId="0" shapeId="0" xr:uid="{00000000-0006-0000-0000-00003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57
Original source_row_number: 181
Raw JSON: /root/project/xclaw-project/openclaw/llm-enhance/official-cve/Auth_Bypass/CVE-2026-31996.json
Raw cve_id: CVE-2026-31996</t>
        </r>
      </text>
    </comment>
    <comment ref="A58" authorId="0" shapeId="0" xr:uid="{00000000-0006-0000-0000-00003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58
Original source_row_number: 186
Raw JSON: /root/project/xclaw-project/openclaw/llm-enhance/official-cve/Auth_Bypass/CVE-2026-32010.json
Raw cve_id: CVE-2026-32010</t>
        </r>
      </text>
    </comment>
    <comment ref="A59" authorId="0" shapeId="0" xr:uid="{00000000-0006-0000-0000-00003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59
Original source_row_number: 188
Raw JSON: /root/project/xclaw-project/openclaw/llm-enhance/official-cve/Auth_Bypass/CVE-2026-32016.json
Raw cve_id: CVE-2026-32016</t>
        </r>
      </text>
    </comment>
    <comment ref="A60" authorId="0" shapeId="0" xr:uid="{00000000-0006-0000-0000-00003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60
Original source_row_number: 189
Raw JSON: /root/project/xclaw-project/openclaw/llm-enhance/official-cve/Auth_Bypass/CVE-2026-32017.json
Raw cve_id: CVE-2026-32017</t>
        </r>
      </text>
    </comment>
    <comment ref="A61" authorId="0" shapeId="0" xr:uid="{00000000-0006-0000-0000-00003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61
Original source_row_number: 190
Raw JSON: /root/project/xclaw-project/openclaw/llm-enhance/official-cve/Auth_Bypass/CVE-2026-32022.json
Raw cve_id: CVE-2026-32022</t>
        </r>
      </text>
    </comment>
    <comment ref="A62" authorId="0" shapeId="0" xr:uid="{00000000-0006-0000-0000-00003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62
Original source_row_number: 195
Raw JSON: /root/project/xclaw-project/openclaw/llm-enhance/official-cve/Auth_Bypass/CVE-2026-32059.json
Raw cve_id: CVE-2026-32059</t>
        </r>
      </text>
    </comment>
    <comment ref="A63" authorId="0" shapeId="0" xr:uid="{00000000-0006-0000-0000-00003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63
Original source_row_number: 196
Raw JSON: /root/project/xclaw-project/openclaw/llm-enhance/official-cve/CVE-2026-27158.json
Raw cve_id: CVE-2026-27158</t>
        </r>
      </text>
    </comment>
    <comment ref="A64" authorId="0" shapeId="0" xr:uid="{00000000-0006-0000-0000-00003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64
Original source_row_number: 199
Raw JSON: /root/project/xclaw-project/openclaw/llm-enhance/official-cve/CVE-2026-27209.json
Raw cve_id: CVE-2026-27209</t>
        </r>
      </text>
    </comment>
    <comment ref="A65" authorId="0" shapeId="0" xr:uid="{00000000-0006-0000-0000-00004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65
Original source_row_number: 201
Raw JSON: /root/project/xclaw-project/openclaw/llm-enhance/official-cve/Command_Injection/CVE-2026-24763.json
Raw cve_id: CVE-2026-24763</t>
        </r>
      </text>
    </comment>
    <comment ref="A66" authorId="0" shapeId="0" xr:uid="{00000000-0006-0000-0000-00004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66
Original source_row_number: 202
Raw JSON: /root/project/xclaw-project/openclaw/llm-enhance/official-cve/Command_Injection/CVE-2026-29610.json
Raw cve_id: CVE-2026-29610</t>
        </r>
      </text>
    </comment>
    <comment ref="A67" authorId="0" shapeId="0" xr:uid="{00000000-0006-0000-0000-00004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67
Original source_row_number: 203
Raw JSON: /root/project/xclaw-project/openclaw/llm-enhance/official-cve/Command_Injection/CVE-2026-31995.json
Raw cve_id: CVE-2026-31995</t>
        </r>
      </text>
    </comment>
    <comment ref="A68" authorId="0" shapeId="0" xr:uid="{00000000-0006-0000-0000-00004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68
Original source_row_number: 204
Raw JSON: /root/project/xclaw-project/openclaw/llm-enhance/official-cve/Command_Injection/CVE-2026-32000.json
Raw cve_id: CVE-2026-32000</t>
        </r>
      </text>
    </comment>
    <comment ref="A69" authorId="0" shapeId="0" xr:uid="{00000000-0006-0000-0000-00004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69
Original source_row_number: 205
Raw JSON: /root/project/xclaw-project/openclaw/llm-enhance/official-cve/Info_Leak/Advisory-GHSA-53VX-PMQW-863C.json
Raw cve_id: N/A</t>
        </r>
      </text>
    </comment>
    <comment ref="A70" authorId="0" shapeId="0" xr:uid="{00000000-0006-0000-0000-00004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70
Original source_row_number: 206
Raw JSON: /root/project/xclaw-project/openclaw/llm-enhance/official-cve/Info_Leak/Advisory-GHSA-57GH-M6RQ-54CF.json
Raw cve_id: N/A</t>
        </r>
      </text>
    </comment>
    <comment ref="A71" authorId="0" shapeId="0" xr:uid="{00000000-0006-0000-0000-00004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71
Original source_row_number: 210
Raw JSON: /root/project/xclaw-project/openclaw/llm-enhance/official-cve/Info_Leak/Advisory-GHSA-J6C7-3H5X-99G9.json
Raw cve_id: N/A</t>
        </r>
      </text>
    </comment>
    <comment ref="A72" authorId="0" shapeId="0" xr:uid="{00000000-0006-0000-0000-00004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72
Original source_row_number: 211
Raw JSON: /root/project/xclaw-project/openclaw/llm-enhance/official-cve/Info_Leak/Advisory-GHSA-QMWG-QPRG-3J38.json
Raw cve_id: GHSA-QMWG-QPRG-3J38</t>
        </r>
      </text>
    </comment>
    <comment ref="A73" authorId="0" shapeId="0" xr:uid="{00000000-0006-0000-0000-00004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73
Original source_row_number: 216
Raw JSON: /root/project/xclaw-project/openclaw/llm-enhance/official-cve/Info_Leak/CVE-2026-26321.json
Raw cve_id: CVE-2026-26321</t>
        </r>
      </text>
    </comment>
    <comment ref="A74" authorId="0" shapeId="0" xr:uid="{00000000-0006-0000-0000-00004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74
Original source_row_number: 217
Raw JSON: /root/project/xclaw-project/openclaw/llm-enhance/official-cve/Info_Leak/CVE-2026-32008.json
Raw cve_id: CVE-2026-32008</t>
        </r>
      </text>
    </comment>
    <comment ref="A75" authorId="0" shapeId="0" xr:uid="{00000000-0006-0000-0000-00004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75
Original source_row_number: 219
Raw JSON: /root/project/xclaw-project/openclaw/llm-enhance/official-cve/Info_Leak/CVE-2026-4040.json
Raw cve_id: CVE-2026-4040</t>
        </r>
      </text>
    </comment>
    <comment ref="A76" authorId="0" shapeId="0" xr:uid="{00000000-0006-0000-0000-00004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76
Original source_row_number: 237
Raw JSON: /root/project/xclaw-project/openclaw/llm-enhance/official-cve/Path_Traversal/CVE-2026-29611.json
Raw cve_id: CVE-2026-29611</t>
        </r>
      </text>
    </comment>
    <comment ref="A77" authorId="0" shapeId="0" xr:uid="{00000000-0006-0000-0000-00004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77
Original source_row_number: 244
Raw JSON: /root/project/xclaw-project/openclaw/llm-enhance/official-cve/RCE/Advisory-GHSA-4HMJ-39M8-JWC7.json
Raw cve_id: GHSA-4hmj-39m8-jwc7</t>
        </r>
      </text>
    </comment>
    <comment ref="A78" authorId="0" shapeId="0" xr:uid="{00000000-0006-0000-0000-00004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78
Original source_row_number: 246
Raw JSON: /root/project/xclaw-project/openclaw/llm-enhance/official-cve/RCE/Advisory-GHSA-536q-mj95-h29h.json
Raw cve_id: N/A</t>
        </r>
      </text>
    </comment>
    <comment ref="A79" authorId="0" shapeId="0" xr:uid="{00000000-0006-0000-0000-00004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79
Original source_row_number: 263
Raw JSON: /root/project/xclaw-project/openclaw/llm-enhance/official-cve/RCE/CVE-2026-32015.json
Raw cve_id: CVE-2026-32015</t>
        </r>
      </text>
    </comment>
    <comment ref="A80" authorId="0" shapeId="0" xr:uid="{00000000-0006-0000-0000-00004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80
Original source_row_number: 265
Raw JSON: /root/project/xclaw-project/openclaw/llm-enhance/official-cve/SSRF/CVE-2026-28451.json
Raw cve_id: CVE-2026-28451</t>
        </r>
      </text>
    </comment>
    <comment ref="A81" authorId="0" shapeId="0" xr:uid="{00000000-0006-0000-0000-00005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81
Original source_row_number: 268
Raw JSON: /root/project/xclaw-project/openclaw/llm-enhance/official-cve/SSRF/CVE-2026-32019.json
Raw cve_id: CVE-2026-32019</t>
        </r>
      </text>
    </comment>
    <comment ref="A82" authorId="0" shapeId="0" xr:uid="{00000000-0006-0000-0000-00005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82
Original source_row_number: 269
Raw JSON: /root/project/xclaw-project/picobot/llm-enhance/official-cve/issue-security/Issue-picobot-2.json
Raw cve_id: N/A</t>
        </r>
      </text>
    </comment>
    <comment ref="A83" authorId="0" shapeId="0" xr:uid="{00000000-0006-0000-0000-000052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83
Original source_row_number: 270
Raw JSON: /root/project/xclaw-project/picoclaw/llm-enhance/official-cve/issue-security/Issue-picoclaw-258.json
Raw cve_id: picoclaw-258</t>
        </r>
      </text>
    </comment>
    <comment ref="A84" authorId="0" shapeId="0" xr:uid="{00000000-0006-0000-0000-000053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84
Original source_row_number: 276
Raw JSON: /root/project/xclaw-project/zeptoclaw/llm-enhance/official-cve/issue-security/Issue-zeptoclaw-263.json
Raw cve_id: N/A</t>
        </r>
      </text>
    </comment>
    <comment ref="A85" authorId="0" shapeId="0" xr:uid="{00000000-0006-0000-0000-000054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85
Original source_row_number: 277
Raw JSON: /root/project/xclaw-project/zeptoclaw/llm-enhance/official-cve/issue-security/Issue-zeptoclaw-264.json
Raw cve_id: N/A</t>
        </r>
      </text>
    </comment>
    <comment ref="A86" authorId="0" shapeId="0" xr:uid="{00000000-0006-0000-0000-000055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86
Original source_row_number: 278
Raw JSON: /root/project/xclaw-project/zeptoclaw/llm-enhance/official-cve/issue-security/Issue-zeptoclaw-268.json
Raw cve_id: N/A</t>
        </r>
      </text>
    </comment>
    <comment ref="A87" authorId="0" shapeId="0" xr:uid="{00000000-0006-0000-0000-000056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87
Original source_row_number: 282
Raw JSON: /root/project/xclaw-project/zeroclaw/llm-enhance/official-cve/issue-security/Issue-zeroclaw-2400.json
Raw cve_id: Issue-zeroclaw-2400</t>
        </r>
      </text>
    </comment>
    <comment ref="A88" authorId="0" shapeId="0" xr:uid="{00000000-0006-0000-0000-000057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88
Original source_row_number: 287
Raw JSON: /root/project/xclaw-project/zeroclaw/llm-enhance/official-cve/issue-security/Issue-zeroclaw-352.json
Raw cve_id: N/A</t>
        </r>
      </text>
    </comment>
    <comment ref="A89" authorId="0" shapeId="0" xr:uid="{00000000-0006-0000-0000-000058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89
Original source_row_number: 288
Raw JSON: /root/project/xclaw-project/zeroclaw/llm-enhance/official-cve/issue-security/Issue-zeroclaw-4485.json
Raw cve_id: N/A</t>
        </r>
      </text>
    </comment>
    <comment ref="A90" authorId="0" shapeId="0" xr:uid="{00000000-0006-0000-0000-000059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90
Original source_row_number: 291
Raw JSON: /root/project/xclaw-project/zeroclaw/llm-enhance/official-cve/issue-security/Issue-zeroclaw-4864.json
Raw cve_id: Unknown</t>
        </r>
      </text>
    </comment>
    <comment ref="A91" authorId="0" shapeId="0" xr:uid="{00000000-0006-0000-0000-00005A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91
Original source_row_number: 293
Raw JSON: /root/project/xclaw-project/zeroclaw/llm-enhance/official-cve/issue-security/Issue-zeroclaw-5122.json
Raw cve_id: Issue-zeroclaw-5122</t>
        </r>
      </text>
    </comment>
    <comment ref="A92" authorId="0" shapeId="0" xr:uid="{00000000-0006-0000-0000-00005B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92
Original source_row_number: 294
Raw JSON: /root/project/xclaw-project/zeroclaw/llm-enhance/official-cve/issue-security/Issue-zeroclaw-514.json
Raw cve_id: Not recorded</t>
        </r>
      </text>
    </comment>
    <comment ref="A93" authorId="0" shapeId="0" xr:uid="{00000000-0006-0000-0000-00005C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93
Original source_row_number: 295
Raw JSON: /root/project/xclaw-project/zeroclaw/llm-enhance/official-cve/issue-security/Issue-zeroclaw-516.json
Raw cve_id: N/A</t>
        </r>
      </text>
    </comment>
    <comment ref="A94" authorId="0" shapeId="0" xr:uid="{00000000-0006-0000-0000-00005D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94
Original source_row_number: 297
Raw JSON: /root/project/xclaw-project/zeroclaw/llm-enhance/official-cve/issue-security/Issue-zeroclaw-5698.json
Raw cve_id: N/A</t>
        </r>
      </text>
    </comment>
    <comment ref="A95" authorId="0" shapeId="0" xr:uid="{00000000-0006-0000-0000-00005E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95
Original source_row_number: 299
Raw JSON: /root/project/xclaw-project/zeroclaw/llm-enhance/official-cve/issue-security/Issue-zeroclaw-598.json
Raw cve_id: Issue-zeroclaw-598</t>
        </r>
      </text>
    </comment>
    <comment ref="A96" authorId="0" shapeId="0" xr:uid="{00000000-0006-0000-0000-00005F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96
Original source_row_number: 301
Raw JSON: /root/project/xclaw-project/zeroclaw/llm-enhance/official-cve/issue-security/Issue-zeroclaw-600.json
Raw cve_id: Issue-zeroclaw-600</t>
        </r>
      </text>
    </comment>
    <comment ref="A97" authorId="0" shapeId="0" xr:uid="{00000000-0006-0000-0000-000060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97
Original source_row_number: 302
Raw JSON: /root/project/xclaw-project/zeroclaw/llm-enhance/official-cve/issue-security/Issue-zeroclaw-601.json
Raw cve_id: Not recorded</t>
        </r>
      </text>
    </comment>
    <comment ref="A98" authorId="0" shapeId="0" xr:uid="{00000000-0006-0000-0000-000061000000}">
      <text>
        <r>
          <rPr>
            <sz val="11"/>
            <color theme="1"/>
            <rFont val="宋体"/>
            <family val="2"/>
            <scheme val="minor"/>
          </rPr>
          <t>Source workbook: /root/my-project/agent-research/clawgap/design/study/vuls-exist/tool-wrong-check.xlsx
Worksheet: study-benchmark
Workbook row: 98
Original source_row_number: 303
Raw JSON: /root/project/xclaw-project/zeroclaw/llm-enhance/official-cve/issue-security/Issue-zeroclaw-607.json
Raw cve_id: Unknown</t>
        </r>
      </text>
    </comment>
  </commentList>
</comments>
</file>

<file path=xl/sharedStrings.xml><?xml version="1.0" encoding="utf-8"?>
<sst xmlns="http://schemas.openxmlformats.org/spreadsheetml/2006/main" count="861" uniqueCount="341">
  <si>
    <t>Vulnerability ID</t>
  </si>
  <si>
    <t>Project</t>
  </si>
  <si>
    <t>Representative entry</t>
  </si>
  <si>
    <t>Failure mode</t>
  </si>
  <si>
    <t>Protection domain</t>
  </si>
  <si>
    <t>Severity</t>
  </si>
  <si>
    <t>Remediation strategy</t>
  </si>
  <si>
    <t>Affected component</t>
  </si>
  <si>
    <t>Trust boundary</t>
  </si>
  <si>
    <t>Deep failure family</t>
  </si>
  <si>
    <t>Agent-specific impact / features</t>
  </si>
  <si>
    <t>Handler</t>
  </si>
  <si>
    <t>Sink</t>
  </si>
  <si>
    <t>Dominance</t>
  </si>
  <si>
    <t>Transform</t>
  </si>
  <si>
    <t>Capability</t>
  </si>
  <si>
    <t>Filter</t>
  </si>
  <si>
    <t>Other</t>
  </si>
  <si>
    <t>Total gates</t>
  </si>
  <si>
    <t>Function</t>
  </si>
  <si>
    <t>Ad hoc</t>
  </si>
  <si>
    <t>goclaw-44</t>
  </si>
  <si>
    <t>GoClaw</t>
  </si>
  <si>
    <t>CLI</t>
  </si>
  <si>
    <t>Present-but-insufficient check</t>
  </si>
  <si>
    <t>Command execution</t>
  </si>
  <si>
    <t>Tool-Execution-Shell</t>
  </si>
  <si>
    <t>exec [internal/tools/shell.go:238]</t>
  </si>
  <si>
    <t>goclaw-945</t>
  </si>
  <si>
    <t>Filesystem</t>
  </si>
  <si>
    <t>ExecTool.executeOnHost shell execution [internal/tools/shell.go:561]</t>
  </si>
  <si>
    <t>hermes-agent-220</t>
  </si>
  <si>
    <t>Hermes Agent</t>
  </si>
  <si>
    <t>Missing check</t>
  </si>
  <si>
    <t>Tool-Execution-File-Read</t>
  </si>
  <si>
    <t>skill_view [tools/skills_tool.py:862]</t>
  </si>
  <si>
    <t>hermes-agent-8033</t>
  </si>
  <si>
    <t>Network / URL</t>
  </si>
  <si>
    <t>Tool-Execution-HTTP-Request</t>
  </si>
  <si>
    <t>web_extract [tools/web_tools.py:894]</t>
  </si>
  <si>
    <t>FirecrawlWebSearchProvider.extract -&gt; Firecrawl.scrape [plugins/web/firecrawl/provider.py:486]
Tavily extract HTTP API forward [plugins/web/tavily/provider.py:57]
ExaWebSearchProvider.extract -&gt; Exa.get_contents [plugins/web/exa/provider.py:169]
ParallelWebSearchProvider.extract -&gt; AsyncParallel.beta.extract [plugins/web/parallel/provider.py:231]</t>
  </si>
  <si>
    <t>hermes-agent-8034</t>
  </si>
  <si>
    <t>Tool-Execution-Browser-Interaction</t>
  </si>
  <si>
    <t>browser_navigate [tools/browser_tool.py:3814]</t>
  </si>
  <si>
    <t>agent-browser open subprocess control boundary [tools/browser_tool.py:2091]
Camofox tab-create REST control boundary [tools/browser_camofox.py:344]
Camofox existing-tab navigate REST control boundary [tools/browser_camofox.py:390]</t>
  </si>
  <si>
    <t>hermes-agent-8035</t>
  </si>
  <si>
    <t>read_file [tools/file_tools.py:1616]</t>
  </si>
  <si>
    <t>subprocess.Popen (LocalEnvironment._run_bash bash/sed file-read command) [tools/environments/local.py:595]</t>
  </si>
  <si>
    <t>moltis-814</t>
  </si>
  <si>
    <t>Moltis</t>
  </si>
  <si>
    <t>exec [crates/tools/src/exec.rs:361]</t>
  </si>
  <si>
    <t>sh -c shell execution [crates/tools/src/exec.rs:132]</t>
  </si>
  <si>
    <t>nanobot-1817</t>
  </si>
  <si>
    <t>NanoBot</t>
  </si>
  <si>
    <t>exec [nanobot/agent/tools/shell.py:247]</t>
  </si>
  <si>
    <t>asyncio.create_subprocess_exec (ExecTool POSIX shell launch) [nanobot/agent/tools/shell.py:493]</t>
  </si>
  <si>
    <t>nanobot-2826</t>
  </si>
  <si>
    <t>asyncio.create_subprocess_exec (POSIX shell spawn) [nanobot/agent/tools/shell.py:493]</t>
  </si>
  <si>
    <t>nanobot-845</t>
  </si>
  <si>
    <t>asyncio.create_subprocess_exec [nanobot/agent/tools/shell.py:493]</t>
  </si>
  <si>
    <t>nanoclaw-458</t>
  </si>
  <si>
    <t>NanoClaw</t>
  </si>
  <si>
    <t>Bash [container/agent-runner/node_modules/@anthropic-ai/sdk/tools/agent-toolset/node.mjs:285]</t>
  </si>
  <si>
    <t>BashSession /bin/bash process spawn [container/agent-runner/node_modules/@anthropic-ai/sdk/tools/agent-toolset/node.mjs:143]
BashSession stdin.write to spawned shell [container/agent-runner/node_modules/@anthropic-ai/sdk/tools/agent-toolset/node.mjs:189]
Docker runtime container launch boundary [src/container-runner.ts:166]</t>
  </si>
  <si>
    <t>nullclaw-202</t>
  </si>
  <si>
    <t>NullClaw</t>
  </si>
  <si>
    <t>web_fetch [src/tools/web_fetch.zig:41]</t>
  </si>
  <si>
    <t>http_util.curlGetWithResolve [src/tools/web_fetch.zig:111]
http_util.curlGet [src/tools/web_fetch.zig:119]</t>
  </si>
  <si>
    <t>openclaw-cn-396</t>
  </si>
  <si>
    <t>OpenClaw-CN</t>
  </si>
  <si>
    <t>web_fetch [src/agents/tools/web-fetch.ts:697]</t>
  </si>
  <si>
    <t>fetcher(parsedUrl.toString(), init) [src/infra/net/fetch-guard.ts:133]</t>
  </si>
  <si>
    <t>GHSA-3h2q-j2v4-6w5r</t>
  </si>
  <si>
    <t>OpenClaw</t>
  </si>
  <si>
    <t>Tool-Execution-SystemRun-Shell-Wrapper-Parsing</t>
  </si>
  <si>
    <t>exec [src/agents/bash-tools.exec.ts:1565]</t>
  </si>
  <si>
    <t>child_process.spawn (node-host runCommand) [src/node-host/invoke.ts:278]</t>
  </si>
  <si>
    <t>GHSA-3jx4-q2m7-r496</t>
  </si>
  <si>
    <t>Tool-Execution-Workspace-Path-Boundary-Enforcement</t>
  </si>
  <si>
    <t>read [src/agents/sessions/tools/read.ts:266]
write [src/agents/sessions/tools/write.ts:393]
edit [src/agents/sessions/tools/edit.ts:405]
apply_patch [src/agents/apply-patch.ts:114]</t>
  </si>
  <si>
    <t>fs.promises.readFile (host read tool) [src/agents/sessions/tools/read.ts:61]
FileHandle.readFile (fs-safe workspace root read) [node_modules/@openclaw/fs-safe/dist/read-opened-file.js:6]
child_process.spawn (fs-safe pinned workspace writer) [node_modules/@openclaw/fs-safe/dist/pinned-python.js:558]
FileHandle.writeFile (fs-safe pinned writer fallback) [node_modules/@openclaw/fs-safe/dist/pinned-write.js:189]
fs.readFileSync (apply_patch guarded host read) [src/agents/apply-patch.ts:277]
fs.readFileSync (sandbox fs bridge host read) [src/agents/sandbox/fs-bridge.ts:253]
child_process.spawn (Docker sandbox fs command boundary) [src/agents/sandbox/docker.ts:81]</t>
  </si>
  <si>
    <t>CVE-2026-31992</t>
  </si>
  <si>
    <t>child_process.spawn (node-host runCommand) [src/node-host/invoke.ts:278]
supervisor.spawn (exec-runtime host backend) [src/agents/bash-tools.exec-runtime.ts:911]</t>
  </si>
  <si>
    <t>GHSA-5326-6f73-m96w</t>
  </si>
  <si>
    <t>Foundation.Process.run (ShellExecutor.runDetailed timeout branch) [apps/macos/Sources/OpenClaw/ShellExecutor.swift:94]
Foundation.Process.run (ShellExecutor.runDetailed blocking branch) [apps/macos/Sources/OpenClaw/ShellExecutor.swift:123]</t>
  </si>
  <si>
    <t>GHSA-56f2-hvwg-5743</t>
  </si>
  <si>
    <t>Tool-Execution-Remote-Media-Fetch</t>
  </si>
  <si>
    <t>image [src/agents/tools/image-tool.ts:823]</t>
  </si>
  <si>
    <t>Undici runtime fetch [src/infra/net/runtime-fetch.ts:101]</t>
  </si>
  <si>
    <t>GHSA-5rp4-cwgh-gvwq</t>
  </si>
  <si>
    <t>Command-argument shell safety</t>
  </si>
  <si>
    <t>Tool-Execution-Subprocess-Wrapper-Resolution</t>
  </si>
  <si>
    <t>lobster [extensions/lobster/src/lobster-tool.ts:259 (pre-patch ba7be018^)]</t>
  </si>
  <si>
    <t>child_process.spawn [extensions/lobster/src/lobster-tool.ts:120 (pre-patch ba7be018^)]</t>
  </si>
  <si>
    <t>GHSA-6rcp-vxwf-3mfp</t>
  </si>
  <si>
    <t>Tool-action approval</t>
  </si>
  <si>
    <t>Tool-Execution-Approval-Manager</t>
  </si>
  <si>
    <t>exec [src/agents/bash-tools.exec.ts:1480]</t>
  </si>
  <si>
    <t>child_process.spawn (node-host system.run runCommand) [src/node-host/invoke.ts:278]</t>
  </si>
  <si>
    <t>GHSA-74wf-h43j-vvmj</t>
  </si>
  <si>
    <t>resolvePermissionRequest ACP client auto-allow response [src/acp/client-helpers.ts:134]</t>
  </si>
  <si>
    <t>GHSA-796m-2973-wc5q</t>
  </si>
  <si>
    <t>Tool-Execution-Exec-Wrapper-Plan-Parity</t>
  </si>
  <si>
    <t>supervisor.spawn [src/agents/bash-tools.exec-runtime.ts:916]
child_process.spawn (node-host runCommand) [src/node-host/invoke.ts:278]</t>
  </si>
  <si>
    <t>CVE-2026-28363</t>
  </si>
  <si>
    <t>Tool-Execution-SafeBin-Option-Policy</t>
  </si>
  <si>
    <t>GHSA-7ff8-xjh3-mgh6</t>
  </si>
  <si>
    <t>GHSA-8j9w-9pm5-pv8m</t>
  </si>
  <si>
    <t>GHSA-8mf7-vv8w-hjr2</t>
  </si>
  <si>
    <t>child_process.spawn (node-host system.run) [src/node-host/invoke.ts:278]
child_process.spawn (process supervisor child adapter) [src/process/spawn-utils.ts:45]
@lydell/node-pty spawn (process supervisor PTY adapter) [src/process/supervisor/adapters/pty.ts:61]</t>
  </si>
  <si>
    <t>GHSA-8px5-2gfr-7ph6</t>
  </si>
  <si>
    <t>Retry handling</t>
  </si>
  <si>
    <t>Tool-Execution-Subprocess</t>
  </si>
  <si>
    <t>lobster [extensions/lobster/src/lobster-tool.ts:259 (pre-fix parent of ba7be018)]</t>
  </si>
  <si>
    <t>child_process.spawn (Lobster subprocess runner) [extensions/lobster/src/lobster-tool.ts:120 (pre-fix parent of ba7be018)]</t>
  </si>
  <si>
    <t>GHSA-9q2p-vc84-2rwm</t>
  </si>
  <si>
    <t>Tool-Execution-SystemRun-Allowlist-Persistence</t>
  </si>
  <si>
    <t>fs.writeFileSync exec approvals temp write [src/infra/exec-approvals.ts:790]
node-host child_process.spawn [src/node-host/invoke.ts:278]
gateway child_process.spawn via spawnWithFallback [src/process/spawn-utils.ts:45]
gateway node-pty spawn [src/process/supervisor/adapters/pty.ts:61]</t>
  </si>
  <si>
    <t>GHSA-ccg8-46r6-9qgj</t>
  </si>
  <si>
    <t>GHSA-f8r2-vg7x-gh8m</t>
  </si>
  <si>
    <t>child_process.spawn [src/node-host/invoke.ts:278]</t>
  </si>
  <si>
    <t>CVE-2026-27566</t>
  </si>
  <si>
    <t>child_process.spawn (node-host runCommand) [src/node-host/invoke.ts:278]
Process.run (macOS companion ShellExecutor) [apps/macos/Sources/OpenClaw/ShellExecutor.swift:94]</t>
  </si>
  <si>
    <t>GHSA-jq4x-98m3-ggq6</t>
  </si>
  <si>
    <t>canvas [src/agents/tools/canvas-tool.ts:61]</t>
  </si>
  <si>
    <t>fs.readFile [src/agents/tools/canvas-tool.ts:172]</t>
  </si>
  <si>
    <t>CVE-2026-26324</t>
  </si>
  <si>
    <t>web_fetch [src/agents/tools/web-fetch.ts:785]</t>
  </si>
  <si>
    <t>undici runtime fetch [src/infra/net/runtime-fetch.ts:101]
default/custom fetch [src/infra/net/fetch-guard.ts:579]</t>
  </si>
  <si>
    <t>GHSA-qcc4-p59m-p54m</t>
  </si>
  <si>
    <t>apply_patch [src/agents/apply-patch.ts:114]</t>
  </si>
  <si>
    <t>node:fs/promises.writeFile (apply_patch host write primitive) [src/agents/apply-patch.ts:284]
child_process.spawn (fs-safe pinned workspace writer helper) [node_modules/@openclaw/fs-safe/dist/pinned-python.js:558]
FileHandle.writeFile (fs-safe pinned writer fallback) [node_modules/@openclaw/fs-safe/dist/pinned-write.js:189]
child_process.spawn (Docker sandbox fs command boundary) [src/agents/sandbox/docker.ts:81]</t>
  </si>
  <si>
    <t>GHSA-qhrr-grqp-6x2g</t>
  </si>
  <si>
    <t>Tool-Execution-SafeBin-Trust-Resolution</t>
  </si>
  <si>
    <t>CVE-2026-27183</t>
  </si>
  <si>
    <t>GHSA-xrgv-34cc-q765</t>
  </si>
  <si>
    <t>GHSA-7ggg-pvrf-458v</t>
  </si>
  <si>
    <t>Process-environment isolation</t>
  </si>
  <si>
    <t>process supervisor spawn (gateway exec host) [src/agents/bash-tools.exec-runtime.ts:916]
child_process.spawn (node-host runCommand) [src/node-host/invoke.ts:278]</t>
  </si>
  <si>
    <t>GHSA-jccr-rrw2-vc8h</t>
  </si>
  <si>
    <t>Tool-Execution-SafeBin-Semantic-Validation</t>
  </si>
  <si>
    <t>supervisor.spawn [src/agents/bash-tools.exec-runtime.ts:916]</t>
  </si>
  <si>
    <t>GHSA-XQ94-R468-QWGJ</t>
  </si>
  <si>
    <t>TUI</t>
  </si>
  <si>
    <t>page.goto [extensions/browser/src/browser/pw-session.ts:1393]
CDP Target.createTarget [extensions/browser/src/browser/cdp.ts:264]
CDP /json/new tab creation [extensions/browser/src/browser/server-context.tab-ops.ts:370]
Chrome MCP navigate_page [extensions/browser/src/browser/chrome-mcp.ts:1433]</t>
  </si>
  <si>
    <t>GHSA-q2gc-xjqw-qp89</t>
  </si>
  <si>
    <t>supervisor.spawn (gateway exec host) [src/agents/bash-tools.exec-runtime.ts:911]
child_process.spawn (node-host system.run) [src/node-host/invoke.ts:278]</t>
  </si>
  <si>
    <t>GHSA-vr5g-mmx7-h897</t>
  </si>
  <si>
    <t>browser [extensions/browser/src/browser-tool.ts:487]</t>
  </si>
  <si>
    <t>CVE-2026-22169</t>
  </si>
  <si>
    <t>supervisor.spawn (gateway exec-host child mode) [src/agents/bash-tools.exec-runtime.ts:916]</t>
  </si>
  <si>
    <t>CVE-2026-22175</t>
  </si>
  <si>
    <t>CVE-2026-22179</t>
  </si>
  <si>
    <t>MacNodeRuntime.executeSystemRun -&gt; ShellExecutor.runDetailed [apps/macos/Sources/OpenClaw/NodeMode/MacNodeRuntime.swift:1016]
ExecHostExecutor.runCommand -&gt; ShellExecutor.runDetailed [apps/macos/Sources/OpenClaw/ExecApprovalsSocket.swift:614]
ShellExecutor.runDetailed Process.run [apps/macos/Sources/OpenClaw/ShellExecutor.swift:64]</t>
  </si>
  <si>
    <t>CVE-2026-26322</t>
  </si>
  <si>
    <t>Tool-Execution-Gateway-WebSocket-Target-Resolution</t>
  </si>
  <si>
    <t>message [src/agents/tools/message-tool.ts:1270]
gateway [src/agents/tools/gateway-tool.ts:458]</t>
  </si>
  <si>
    <t>ws WebSocket client connection open (new WebSocket(url)) in base GatewayClient.start() [packages/gateway-client/src/client.ts:646]</t>
  </si>
  <si>
    <t>CVE-2026-26325</t>
  </si>
  <si>
    <t>nodes [src/agents/tools/nodes-tool.ts:109 (pre-patch)]</t>
  </si>
  <si>
    <t>CVE-2026-27484</t>
  </si>
  <si>
    <t>Discord</t>
  </si>
  <si>
    <t>Authorization identity</t>
  </si>
  <si>
    <t>Tool-Execution-Channel-Action-Authorization</t>
  </si>
  <si>
    <t>message [src/agents/tools/message-tool.ts:1270]</t>
  </si>
  <si>
    <t>RequestClient.executeRequest fetch (Discord REST moderation request) [extensions/discord/src/internal/rest.ts:241]</t>
  </si>
  <si>
    <t>CVE-2026-28391</t>
  </si>
  <si>
    <t>CVE-2026-28460</t>
  </si>
  <si>
    <t>CVE-2026-28463</t>
  </si>
  <si>
    <t>Tool-Execution-SafeBin-Shell-Execution-Quoting</t>
  </si>
  <si>
    <t>supervisor.spawn (gateway exec-host) [src/agents/bash-tools.exec-runtime.ts:911]
child_process.spawn (node-host runCommand) [src/node-host/invoke.ts:278]</t>
  </si>
  <si>
    <t>CVE-2026-28470</t>
  </si>
  <si>
    <t>CVE-2026-29607</t>
  </si>
  <si>
    <t>addAllowlistEntry [src/infra/exec-approvals.ts:1377]
persistAllowAlwaysPatterns [src/infra/exec-approvals.ts:1489]
opts.runCommand [src/node-host/invoke-system-run.ts:900]</t>
  </si>
  <si>
    <t>CVE-2026-29608</t>
  </si>
  <si>
    <t>opts.runCommand [src/node-host/invoke-system-run.ts:900]
child_process.spawn [src/node-host/invoke.ts:278]</t>
  </si>
  <si>
    <t>CVE-2026-31993</t>
  </si>
  <si>
    <t>Tool-Execution-SystemRun-Allowlist-Chain-Resolution</t>
  </si>
  <si>
    <t>Foundation.Process.run (ShellExecutor) [apps/macos/Sources/OpenClaw/ShellExecutor.swift:94]</t>
  </si>
  <si>
    <t>CVE-2026-31996</t>
  </si>
  <si>
    <t>supervisor.spawn (gateway exec host) [src/agents/bash-tools.exec-runtime.ts:911]
child_process.spawn (node-host runCommand) [src/node-host/invoke.ts:278]</t>
  </si>
  <si>
    <t>CVE-2026-32010</t>
  </si>
  <si>
    <t>supervisor.spawn (gateway exec host child mode) [src/agents/bash-tools.exec-runtime.ts:916]</t>
  </si>
  <si>
    <t>CVE-2026-32016</t>
  </si>
  <si>
    <t>Foundation Process.run (ShellExecutor.runDetailed) [apps/macos/Sources/OpenClaw/ShellExecutor.swift:94]</t>
  </si>
  <si>
    <t>CVE-2026-32017</t>
  </si>
  <si>
    <t>child_process.spawn via spawnWithFallback [src/process/spawn-utils.ts:45]
node-pty spawn [src/process/supervisor/adapters/pty.ts:61]</t>
  </si>
  <si>
    <t>CVE-2026-32022</t>
  </si>
  <si>
    <t>supervisor.spawn (gateway exec host) [src/agents/bash-tools.exec-runtime.ts:916]
child_process.spawn (node-host system.run) [src/node-host/invoke.ts:278]</t>
  </si>
  <si>
    <t>CVE-2026-32059</t>
  </si>
  <si>
    <t>CVE-2026-27158</t>
  </si>
  <si>
    <t>Baileys WASocket.sendMessage reaction payload [extensions/whatsapp/src/inbound/send-api.ts:183]</t>
  </si>
  <si>
    <t>CVE-2026-27209</t>
  </si>
  <si>
    <t>Tool-Execution-Exec-Allowlist-Shell-Parser</t>
  </si>
  <si>
    <t>child_process.spawn via spawnWithFallback [src/process/spawn-utils.ts:45]
@lydell/node-pty spawn [src/process/supervisor/adapters/pty.ts:61]</t>
  </si>
  <si>
    <t>CVE-2026-24763</t>
  </si>
  <si>
    <t>Tool-Execution-Docker-Exec-Shell-Resolution</t>
  </si>
  <si>
    <t>child_process.spawn (process supervisor child adapter) [src/process/spawn-utils.ts:45]
child_process.spawn (Docker helper execDockerRaw) [src/agents/sandbox/docker.ts:81]</t>
  </si>
  <si>
    <t>CVE-2026-29610</t>
  </si>
  <si>
    <t>child_process.spawn (node-host system.run) [src/node-host/invoke.ts:278]
child_process.execFile (ffprobe no-stdin path) [src/media/ffmpeg-exec.ts:58]
child_process.execFile (ffprobe stdin path) [src/media/ffmpeg-exec.ts:64]
child_process.execFile (ffmpeg) [src/media/ffmpeg-exec.ts:84]
child_process.execFile (openssl) [src/infra/tls/gateway.ts:47]</t>
  </si>
  <si>
    <t>CVE-2026-31995</t>
  </si>
  <si>
    <t>CVE-2026-32000</t>
  </si>
  <si>
    <t>GHSA-53VX-PMQW-863C</t>
  </si>
  <si>
    <t>Chrome MCP navigate_page callTool boundary [extensions/browser/src/browser/chrome-mcp.ts:1430]
Playwright Page.goto [extensions/browser/src/browser/pw-session.ts:1393]
CDP Target.createTarget [extensions/browser/src/browser/cdp.ts:264]</t>
  </si>
  <si>
    <t>GHSA-57GH-M6RQ-54CF</t>
  </si>
  <si>
    <t>Tool-Execution-Media-Local-Root-Authorization</t>
  </si>
  <si>
    <t>image [src/agents/tools/image-tool.ts:776]</t>
  </si>
  <si>
    <t>FileHandle.readFile via @openclaw/fs-safe readOpenedFileSafely [node_modules/@openclaw/fs-safe/dist/read-opened-file.js:6]</t>
  </si>
  <si>
    <t>GHSA-J6C7-3H5X-99G9</t>
  </si>
  <si>
    <t>GHSA-qmwg-qprg-3j38</t>
  </si>
  <si>
    <t>locator.click / locator.dblclick (Playwright pointer interaction primitive that drives Chromium and can trigger the disallowed navigation) [extensions/browser/src/browser/pw-tools-core.interactions.ts:609]
page.evaluate / locator.evaluate (Playwright in-page script execution primitive that can set location and navigate Chromium into file://) [extensions/browser/src/browser/pw-tools-core.interactions.ts:1107]</t>
  </si>
  <si>
    <t>CVE-2026-26321</t>
  </si>
  <si>
    <t>fs.readFileSync(filePath) [extensions/feishu/src/media.ts:499 (pre-patch, removed by patch)]
fetch(mediaUrl) [extensions/feishu/src/media.ts:503 (pre-patch, removed by patch)]
fetch(url) [extensions/feishu/src/docx.ts:179 (pre-patch, removed by patch)]</t>
  </si>
  <si>
    <t>CVE-2026-32008</t>
  </si>
  <si>
    <t>browser [extensions/browser/plugin-registration.ts:89]</t>
  </si>
  <si>
    <t>Target.createTarget [extensions/browser/src/browser/cdp.ts:264]
Playwright page.goto [extensions/browser/src/browser/pw-session.ts:1393]
CDP Accessibility.getFullAXTree [extensions/browser/src/browser/pw-tools-core.snapshot.ts:206]</t>
  </si>
  <si>
    <t>CVE-2026-4040</t>
  </si>
  <si>
    <t>fs.existsSync [src/infra/exec-approvals-allowlist.ts:36 (pre-patch)]</t>
  </si>
  <si>
    <t>CVE-2026-29611</t>
  </si>
  <si>
    <t>message [src/agents/tools/message-tool.ts:1223]</t>
  </si>
  <si>
    <t>fs.readFile [extensions/bluebubbles/src/media-send.ts:130]
fetch [extensions/bluebubbles/src/types.ts:123]</t>
  </si>
  <si>
    <t>GHSA-4hmj-39m8-jwc7</t>
  </si>
  <si>
    <t>Tool-Execution-Approval-Prompt</t>
  </si>
  <si>
    <t>resolvePermissionRequest approval entry callsite `await prompt(toolName, toolTitle)` [src/acp/client-helpers.ts:140]
permission-requested log render (secondary content-output spoofing surface) [src/acp/client-helpers.ts:137]</t>
  </si>
  <si>
    <t>GHSA-536q-mj95-h29h</t>
  </si>
  <si>
    <t>page.keyboard.press [extensions/browser/src/browser/pw-tools-core.interactions.ts:810]
locator.press("Enter") [extensions/browser/src/browser/pw-tools-core.interactions.ts:868]</t>
  </si>
  <si>
    <t>CVE-2026-32015</t>
  </si>
  <si>
    <t>CVE-2026-28451</t>
  </si>
  <si>
    <t>feishu_doc [extensions/feishu/src/docx.ts:1415]</t>
  </si>
  <si>
    <t>pre-patch fs.readFileSync(filePath) [extensions/feishu/src/media.ts:499 (pre-patch 5b4121d6011a48c71e747e3c18197f180b872c5d^)]
pre-patch fetch(mediaUrl) [extensions/feishu/src/media.ts:503 (pre-patch 5b4121d6011a48c71e747e3c18197f180b872c5d^)]
pre-patch fetch(url) [extensions/feishu/src/docx.ts:179 (pre-patch 5b4121d6011a48c71e747e3c18197f180b872c5d^)]</t>
  </si>
  <si>
    <t>CVE-2026-32019</t>
  </si>
  <si>
    <t>undici.fetch (runtime dispatcher path) [src/infra/net/runtime-fetch.ts:101]
defaultFetch (fetchImpl/globalThis.fetch path) [src/infra/net/fetch-guard.ts:579]</t>
  </si>
  <si>
    <t>picobot-2</t>
  </si>
  <si>
    <t>PicoBot</t>
  </si>
  <si>
    <t>filesystem [internal/agent/tools/filesystem.go:62]</t>
  </si>
  <si>
    <t>os.ReadFile [internal/agent/tools/filesystem.go:102 (pre-patch, replaced by rooted read)]
os.MkdirAll [internal/agent/tools/filesystem.go:118 (pre-patch, replaced by rooted mkdir)]
os.WriteFile [internal/agent/tools/filesystem.go:121 (pre-patch, replaced by rooted write)]
os.ReadDir [internal/agent/tools/filesystem.go:126 (pre-patch, replaced by rooted open/read)]</t>
  </si>
  <si>
    <t>picoclaw-258</t>
  </si>
  <si>
    <t>PicoClaw</t>
  </si>
  <si>
    <t>exec.CommandContext sh/powershell [pkg/tools/shell.go:395]
exec.Command background sh/powershell [pkg/tools/shell.go:507]
isolation.Start shell process launch [pkg/tools/shell.go:411]
CronTool.ExecuteJob exec dispatch [pkg/tools/cron.go:291]
http.Client.Do web fetch [pkg/tools/integration/web.go:2142]
filesystem host file read/write operations [pkg/tools/fs/filesystem.go:1009]</t>
  </si>
  <si>
    <t>zeptoclaw-263</t>
  </si>
  <si>
    <t>ZeptoClaw</t>
  </si>
  <si>
    <t>web_fetch [src/tools/web.rs:697]</t>
  </si>
  <si>
    <t>reqwest GET send [src/tools/web.rs:750]
reqwest redirect follow [src/tools/web.rs:1122]</t>
  </si>
  <si>
    <t>zeptoclaw-264</t>
  </si>
  <si>
    <t>http_request [src/tools/http_request.rs:152]</t>
  </si>
  <si>
    <t>reqwest::redirect::Attempt::follow [src/tools/http_request.rs:104]</t>
  </si>
  <si>
    <t>zeptoclaw-268</t>
  </si>
  <si>
    <t>shell [src/tools/shell.rs:145]</t>
  </si>
  <si>
    <t>ContainerRuntime::execute shell execution pipeline [src/tools/shell.rs:168]
NativeRuntime::execute sh -c [src/runtime/native.rs:40]</t>
  </si>
  <si>
    <t>zeroclaw-2400</t>
  </si>
  <si>
    <t>ZeroClaw</t>
  </si>
  <si>
    <t>Tool-Execution-File-Write</t>
  </si>
  <si>
    <t>tokio::fs::write [crates/zeroclaw-tools/src/file_write.rs:194]
execute_one_tool dispatch pipeline [crates/zeroclaw-runtime/src/agent/tool_execution.rs:115]</t>
  </si>
  <si>
    <t>zeroclaw-352</t>
  </si>
  <si>
    <t>http_request [crates/zeroclaw-tools/src/http_request.rs:225]</t>
  </si>
  <si>
    <t>HttpRequestTool::execute_request [crates/zeroclaw-tools/src/http_request.rs:134]
reqwest::Client::request [crates/zeroclaw-tools/src/http_request.rs:160]
reqwest request send [crates/zeroclaw-tools/src/http_request.rs:166]</t>
  </si>
  <si>
    <t>zeroclaw-4485</t>
  </si>
  <si>
    <t>NativeRuntime::build_shell_command [crates/zeroclaw-config/src/platform/native.rs:43]
tokio::process::Command::spawn [crates/zeroclaw-runtime/src/tools/shell.rs:339]</t>
  </si>
  <si>
    <t>zeroclaw-4864</t>
  </si>
  <si>
    <t>ShellTool::execute cmd.spawn [crates/zeroclaw-runtime/src/tools/shell.rs:339]
NativeRuntime::build_shell_command [crates/zeroclaw-config/src/platform/native.rs:50]
cron run_job_command_with_timeout cmd.spawn [crates/zeroclaw-runtime/src/cron/scheduler.rs:902]</t>
  </si>
  <si>
    <t>zeroclaw-5122</t>
  </si>
  <si>
    <t>standard_fetch reqwest GET [crates/zeroclaw-tools/src/web_fetch.rs:250]
fetch_via_firecrawl scrape request [crates/zeroclaw-tools/src/web_fetch.rs:177]</t>
  </si>
  <si>
    <t>zeroclaw-514</t>
  </si>
  <si>
    <t>ShellTool::execute shell process spawn [crates/zeroclaw-runtime/src/tools/shell.rs:284]
tokio child process spawn [crates/zeroclaw-runtime/src/tools/shell.rs:339]
cron shell command builder [crates/zeroclaw-runtime/src/cron/scheduler.rs:946]
cron shell process spawn [crates/zeroclaw-runtime/src/cron/scheduler.rs:901]</t>
  </si>
  <si>
    <t>zeroclaw-516</t>
  </si>
  <si>
    <t>git_operations [crates/zeroclaw-tools/src/git_operations.rs:944]</t>
  </si>
  <si>
    <t>run_git_command subprocess execution [crates/zeroclaw-tools/src/git_operations.rs:209]
git_diff argv execution [crates/zeroclaw-tools/src/git_operations.rs:299]
git_add argv execution [crates/zeroclaw-tools/src/git_operations.rs:558]
git_checkout argv execution [crates/zeroclaw-tools/src/git_operations.rs:605]
Git tool operation dispatch [crates/zeroclaw-tools/src/git_operations.rs:1024]</t>
  </si>
  <si>
    <t>zeroclaw-5698</t>
  </si>
  <si>
    <t>shell [crates/zeroclaw-runtime/src/tools/shell.rs:250]</t>
  </si>
  <si>
    <t>ShellTool::execute build_shell_command [crates/zeroclaw-runtime/src/tools/shell.rs:284]
tokio::process::Command::spawn [crates/zeroclaw-runtime/src/tools/shell.rs:339]</t>
  </si>
  <si>
    <t>zeroclaw-598</t>
  </si>
  <si>
    <t>Cron task/job execution policy</t>
  </si>
  <si>
    <t>Tool-Execution-Agent-Cron-Scheduler</t>
  </si>
  <si>
    <t>crate::agent::run [crates/zeroclaw-runtime/src/cron/scheduler.rs:557]</t>
  </si>
  <si>
    <t>zeroclaw-600</t>
  </si>
  <si>
    <t>cron::add_shell_job_with_approval / store::add_shell_job persistence [crates/zeroclaw-runtime/src/cron/mod.rs:115]
cron_jobs INSERT [crates/zeroclaw-runtime/src/cron/store.rs:87]</t>
  </si>
  <si>
    <t>zeroclaw-601</t>
  </si>
  <si>
    <t>ScreenshotTool::screenshot_command Linux sh -c script [crates/zeroclaw-tools/src/screenshot.rs:29]
tokio::process::Command::new [crates/zeroclaw-tools/src/screenshot.rs:108]</t>
  </si>
  <si>
    <t>zeroclaw-607</t>
  </si>
  <si>
    <t>reqwest::RequestBuilder::send [crates/zeroclaw-tools/src/http_request.rs:166]</t>
  </si>
  <si>
    <t>Study data | field guide</t>
  </si>
  <si>
    <t>Definition / source</t>
  </si>
  <si>
    <t>Purpose</t>
  </si>
  <si>
    <t>One vulnerability per row; only paper study fields, with gate annotations represented as counts. Original worksheet order is preserved.</t>
  </si>
  <si>
    <t>Reproduction (repository root)</t>
  </si>
  <si>
    <t>python3 design/study/script/export_paper_study_table.py --input /root/my-project/agent-research/clawgap/design/study/vuls-exist/tool-wrong-check.xlsx --sheet study-benchmark --output /root/my-project/agent-research/clawgap/design/study/study-paper-data.xlsx --d5-taxonomy /root/my-project/agent-research/agent-project-data/agentic-classify-metric/d5_deep_failure_mode.md</t>
  </si>
  <si>
    <t>Input workbook / worksheet</t>
  </si>
  <si>
    <t>/root/my-project/agent-research/clawgap/design/study/vuls-exist/tool-wrong-check.xlsx | study-benchmark</t>
  </si>
  <si>
    <t>Generated (UTC)</t>
  </si>
  <si>
    <t>2026-10-05T05:20:02+00:00</t>
  </si>
  <si>
    <t>Source authority</t>
  </si>
  <si>
    <t>Analysis values are read from each linked raw JSON. Workbook labels and previously generated CSVs are not fallbacks. Each vulnerability ID has a source comment.</t>
  </si>
  <si>
    <t>Records</t>
  </si>
  <si>
    <t>Gate occurrences (sum of rows)</t>
  </si>
  <si>
    <t>Distinct annotated gates</t>
  </si>
  <si>
    <t>Gate counting scope</t>
  </si>
  <si>
    <t>All d5_gate_points are counted, including existed_pre_patch=false points added by the patch. Counts do not mean all gates existed in the vulnerable version.</t>
  </si>
  <si>
    <t>Across-report deduplication</t>
  </si>
  <si>
    <t>Distinct identity = (Project, gate name, source location, grouped mechanism). Occurrence totals retain repeated gates across reports; the distinct count is computed from the JSON points during export.</t>
  </si>
  <si>
    <t>Implementation forms</t>
  </si>
  <si>
    <t>Function and Ad hoc partition the same gate occurrences as the five mechanism columns; do not add these two classifications together.</t>
  </si>
  <si>
    <t>Missing values / zero</t>
  </si>
  <si>
    <t>Not recorded means absent annotation; it is not evidence of no handler, boundary, or impact. Numeric 0 means no annotated gate of that category. Unmapped retains the original failure label.</t>
  </si>
  <si>
    <t>D5 family taxonomy</t>
  </si>
  <si>
    <t>/root/my-project/agent-research/agent-project-data/agentic-classify-metric/d5_deep_failure_mode.md</t>
  </si>
  <si>
    <t>FIELD</t>
  </si>
  <si>
    <t>JSON source and interpretation</t>
  </si>
  <si>
    <t>Valid cve_id (CVE/GHSA); otherwise the JSON filename without its Advisory-/Issue- prefix. The cell comment records source linkage.</t>
  </si>
  <si>
    <t>project; canonical project display name.</t>
  </si>
  <si>
    <t>d2_xclaw_trigger_way; the annotated CLI-first representative entry, not every reachable interface.</t>
  </si>
  <si>
    <t>d5_failure_mode; Wrong-Check = Present-but-insufficient check; Missing-Check = Missing check. Missing check concerns the relevant requirement, not the absence of every gate.</t>
  </si>
  <si>
    <t>d5_gate_type; readable protection-domain label. The five smaller domains grouped as Other in the paper retain their specific names here.</t>
  </si>
  <si>
    <t>severity; normalized reported severity.</t>
  </si>
  <si>
    <t>d8_remediation_pattern_enhanced.fix_depth; the patch layer classification, not the legacy remediation-type field.</t>
  </si>
  <si>
    <t>d3_specific_agent_component; annotated specific component.</t>
  </si>
  <si>
    <t>d4_trust_boundary; annotated crossed trust boundary.</t>
  </si>
  <si>
    <t>d5_deep_failure_mode mapped through the existing D5 taxonomy. Unmapped labels retain the original value in parentheses.</t>
  </si>
  <si>
    <t>d9_agentic_features; original D9 impact/feature labels joined by semicolons. These labels are not reinterpreted as independently verified consequences.</t>
  </si>
  <si>
    <t>d5_tool_handler_entry; name [location], one point per line. Evidence and parameter details are omitted.</t>
  </si>
  <si>
    <t>d5_sink_points; name [location], one point per line. Evidence and parameter details are omitted.</t>
  </si>
  <si>
    <t>Number of d5_gate_points with normalized type dominance (including the legacy domainance spelling).</t>
  </si>
  <si>
    <t>Number of d5_gate_points with normalized type transform (including the legacy tranform spelling).</t>
  </si>
  <si>
    <t>Number of d5_gate_points with type capability; the historical annotation category retained for paper accounting.</t>
  </si>
  <si>
    <t>Number of d5_gate_points with type filter.</t>
  </si>
  <si>
    <t>Number of d5_gate_points grouped as others; detailed other: ... labels are combined.</t>
  </si>
  <si>
    <t>Excel SUM of the five mechanism counts. Counts include all annotated points, including points added by the patch.</t>
  </si>
  <si>
    <t>Number of d5_gate_points with normalized kind function. This is an implementation-form count, separate from mechanism.</t>
  </si>
  <si>
    <t>Number of d5_gate_points with normalized kind ad hoc (including adhoc/ad-hoc aliases). Function + Ad hoc equals Total gates.</t>
  </si>
  <si>
    <t>exec [src/agents/lazy-exec-tool.ts:73]</t>
  </si>
  <si>
    <t>browser [extensions/browser/plugin-registration.ts:122]</t>
  </si>
  <si>
    <t>message [src/agents/tools/message-tool-execution.ts:311]
feishu_doc [extensions/feishu/src/docx.ts:1221]</t>
  </si>
  <si>
    <t>exec [pkg/tools/shell.go:265]
cron [pkg/tools/cron.go:137]
web_fetch [pkg/tools/integration/web.go:2102]
read_file [pkg/tools/fs/filesystem.go:395]
write_file [pkg/tools/fs/filesystem.go:910]
edit_file [pkg/tools/fs/edit.go:56]
append_file [pkg/tools/fs/edit.go:116]</t>
  </si>
  <si>
    <t>file_write [crates/zeroclaw-tools/src/file_write.rs:50]</t>
  </si>
  <si>
    <t>web_fetch [crates/zeroclaw-tools/src/web_fetch.rs:356]</t>
  </si>
  <si>
    <t>shell [crates/zeroclaw-runtime/src/tools/shell.rs:250]
cron_add [crates/zeroclaw-runtime/src/tools/cron_add.rs:210]</t>
  </si>
  <si>
    <t>cron_add [crates/zeroclaw-runtime/src/tools/cron_add.rs:210]</t>
  </si>
  <si>
    <t>schedule [crates/zeroclaw-runtime/src/tools/schedule.rs:85]</t>
  </si>
  <si>
    <t>screenshot [crates/zeroclaw-tools/src/screenshot.rs:244]</t>
  </si>
  <si>
    <t>locator.click [extensions/browser/src/browser/pw-tools-core.interactions.ts:609]
locator.evaluate [extensions/browser/src/browser/pw-tools-core.interactions.ts:1068]
page.evaluate [extensions/browser/src/browser/pw-tools-core.interactions.ts:1107]</t>
    <phoneticPr fontId="4" type="noConversion"/>
  </si>
  <si>
    <t>ExecTool.executeOnHost POSIX shell execution [internal/tools/shell.go:561]
ExecTool.executeOnHost Windows shell execution [internal/tools/shell.go:555]
ExecTool.executeInSandbox shell execution [internal/tools/shell.go:667]
executeCredentialedHost direct exec [internal/tools/credentialed_exec.go:582]
executeCredentialedSandbox direct exec [internal/tools/credentialed_exec.go:635]</t>
    <phoneticPr fontId="4" type="noConversion"/>
  </si>
  <si>
    <t>target_file.read_text [tools/skills_tool.py:1268]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</si>
</sst>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b/>
      <sz val="11"/>
      <color rgb="FF203347"/>
      <name val="Calibri"/>
      <family val="2"/>
    </font>
    <font>
      <sz val="11"/>
      <color rgb="FF203347"/>
      <name val="Calibri"/>
      <family val="2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9556E"/>
      </patternFill>
    </fill>
    <fill>
      <patternFill patternType="solid">
        <fgColor rgb="FF3E596B"/>
      </patternFill>
    </fill>
    <fill>
      <patternFill patternType="solid">
        <fgColor rgb="FF24756F"/>
      </patternFill>
    </fill>
    <fill>
      <patternFill patternType="solid">
        <fgColor rgb="FF5A527D"/>
      </patternFill>
    </fill>
    <fill>
      <patternFill patternType="solid">
        <fgColor rgb="FFF1F5F8"/>
      </patternFill>
    </fill>
    <fill>
      <patternFill patternType="solid">
        <fgColor rgb="FFE1F0ED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1" fontId="3" fillId="7" borderId="0" xfId="0" applyNumberFormat="1" applyFont="1" applyFill="1" applyAlignment="1">
      <alignment horizontal="center" vertical="top" wrapText="1"/>
    </xf>
    <xf numFmtId="1" fontId="2" fillId="8" borderId="0" xfId="0" applyNumberFormat="1" applyFont="1" applyFill="1" applyAlignment="1">
      <alignment horizontal="center" vertical="top" wrapText="1"/>
    </xf>
    <xf numFmtId="0" fontId="2" fillId="9" borderId="0" xfId="0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1" fontId="3" fillId="9" borderId="0" xfId="0" applyNumberFormat="1" applyFont="1" applyFill="1" applyAlignment="1">
      <alignment horizontal="center" vertical="top" wrapText="1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1" fontId="3" fillId="9" borderId="0" xfId="0" applyNumberFormat="1" applyFont="1" applyFill="1" applyAlignment="1">
      <alignment vertical="top" wrapText="1"/>
    </xf>
    <xf numFmtId="1" fontId="3" fillId="7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8"/>
  <sheetViews>
    <sheetView showGridLines="0" tabSelected="1" zoomScale="85" workbookViewId="0">
      <pane xSplit="2" ySplit="1" topLeftCell="C86" activePane="bottomRight" state="frozen"/>
      <selection pane="topRight"/>
      <selection pane="bottomLeft"/>
      <selection pane="bottomRight" activeCell="H46" sqref="H46"/>
    </sheetView>
  </sheetViews>
  <sheetFormatPr defaultRowHeight="14.15" x14ac:dyDescent="0.3"/>
  <cols>
    <col min="1" max="1" width="27" customWidth="1"/>
    <col min="2" max="2" width="18" customWidth="1"/>
    <col min="3" max="3" width="20" customWidth="1"/>
    <col min="4" max="4" width="32" customWidth="1"/>
    <col min="5" max="5" width="33" customWidth="1"/>
    <col min="6" max="6" width="36" customWidth="1"/>
    <col min="7" max="8" width="68" customWidth="1"/>
    <col min="9" max="11" width="15" customWidth="1"/>
    <col min="12" max="13" width="12" customWidth="1"/>
    <col min="14" max="14" width="15" customWidth="1"/>
    <col min="15" max="16" width="13" customWidth="1"/>
  </cols>
  <sheetData>
    <row r="1" spans="1:16" ht="3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3" t="s">
        <v>11</v>
      </c>
      <c r="H1" s="3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5" t="s">
        <v>19</v>
      </c>
      <c r="P1" s="5" t="s">
        <v>20</v>
      </c>
    </row>
    <row r="2" spans="1:16" ht="160" customHeight="1" x14ac:dyDescent="0.3">
      <c r="A2" s="6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339</v>
      </c>
      <c r="I2" s="8">
        <v>20</v>
      </c>
      <c r="J2" s="8">
        <v>4</v>
      </c>
      <c r="K2" s="8">
        <v>6</v>
      </c>
      <c r="L2" s="8">
        <v>0</v>
      </c>
      <c r="M2" s="8">
        <v>0</v>
      </c>
      <c r="N2" s="9">
        <f t="shared" ref="N2:N33" si="0">SUM(I2:M2)</f>
        <v>30</v>
      </c>
      <c r="O2" s="8">
        <v>14</v>
      </c>
      <c r="P2" s="8">
        <v>16</v>
      </c>
    </row>
    <row r="3" spans="1:16" ht="45" customHeight="1" x14ac:dyDescent="0.3">
      <c r="A3" s="10" t="s">
        <v>28</v>
      </c>
      <c r="B3" s="11" t="s">
        <v>22</v>
      </c>
      <c r="C3" s="11" t="s">
        <v>23</v>
      </c>
      <c r="D3" s="11" t="s">
        <v>24</v>
      </c>
      <c r="E3" s="11" t="s">
        <v>29</v>
      </c>
      <c r="F3" s="11" t="s">
        <v>26</v>
      </c>
      <c r="G3" s="11" t="s">
        <v>27</v>
      </c>
      <c r="H3" s="11" t="s">
        <v>30</v>
      </c>
      <c r="I3" s="12">
        <v>13</v>
      </c>
      <c r="J3" s="12">
        <v>0</v>
      </c>
      <c r="K3" s="12">
        <v>1</v>
      </c>
      <c r="L3" s="12">
        <v>0</v>
      </c>
      <c r="M3" s="12">
        <v>0</v>
      </c>
      <c r="N3" s="9">
        <f t="shared" si="0"/>
        <v>14</v>
      </c>
      <c r="O3" s="12">
        <v>5</v>
      </c>
      <c r="P3" s="12">
        <v>9</v>
      </c>
    </row>
    <row r="4" spans="1:16" ht="45" customHeight="1" x14ac:dyDescent="0.3">
      <c r="A4" s="6" t="s">
        <v>31</v>
      </c>
      <c r="B4" s="7" t="s">
        <v>32</v>
      </c>
      <c r="C4" s="7" t="s">
        <v>23</v>
      </c>
      <c r="D4" s="7" t="s">
        <v>33</v>
      </c>
      <c r="E4" s="7" t="s">
        <v>29</v>
      </c>
      <c r="F4" s="7" t="s">
        <v>34</v>
      </c>
      <c r="G4" s="7" t="s">
        <v>35</v>
      </c>
      <c r="H4" s="7" t="s">
        <v>340</v>
      </c>
      <c r="I4" s="8">
        <v>4</v>
      </c>
      <c r="J4" s="8">
        <v>0</v>
      </c>
      <c r="K4" s="8">
        <v>0</v>
      </c>
      <c r="L4" s="8">
        <v>0</v>
      </c>
      <c r="M4" s="8">
        <v>0</v>
      </c>
      <c r="N4" s="9">
        <f t="shared" si="0"/>
        <v>4</v>
      </c>
      <c r="O4" s="8">
        <v>2</v>
      </c>
      <c r="P4" s="8">
        <v>2</v>
      </c>
    </row>
    <row r="5" spans="1:16" ht="130" customHeight="1" x14ac:dyDescent="0.3">
      <c r="A5" s="10" t="s">
        <v>36</v>
      </c>
      <c r="B5" s="11" t="s">
        <v>32</v>
      </c>
      <c r="C5" s="11" t="s">
        <v>23</v>
      </c>
      <c r="D5" s="11" t="s">
        <v>24</v>
      </c>
      <c r="E5" s="11" t="s">
        <v>37</v>
      </c>
      <c r="F5" s="11" t="s">
        <v>38</v>
      </c>
      <c r="G5" s="11" t="s">
        <v>39</v>
      </c>
      <c r="H5" s="11" t="s">
        <v>40</v>
      </c>
      <c r="I5" s="12">
        <v>6</v>
      </c>
      <c r="J5" s="12">
        <v>1</v>
      </c>
      <c r="K5" s="12">
        <v>1</v>
      </c>
      <c r="L5" s="12">
        <v>1</v>
      </c>
      <c r="M5" s="12">
        <v>1</v>
      </c>
      <c r="N5" s="9">
        <f t="shared" si="0"/>
        <v>10</v>
      </c>
      <c r="O5" s="12">
        <v>6</v>
      </c>
      <c r="P5" s="12">
        <v>4</v>
      </c>
    </row>
    <row r="6" spans="1:16" ht="100" customHeight="1" x14ac:dyDescent="0.3">
      <c r="A6" s="6" t="s">
        <v>41</v>
      </c>
      <c r="B6" s="7" t="s">
        <v>32</v>
      </c>
      <c r="C6" s="7" t="s">
        <v>23</v>
      </c>
      <c r="D6" s="7" t="s">
        <v>24</v>
      </c>
      <c r="E6" s="7" t="s">
        <v>37</v>
      </c>
      <c r="F6" s="7" t="s">
        <v>42</v>
      </c>
      <c r="G6" s="7" t="s">
        <v>43</v>
      </c>
      <c r="H6" s="7" t="s">
        <v>44</v>
      </c>
      <c r="I6" s="8">
        <v>14</v>
      </c>
      <c r="J6" s="8">
        <v>2</v>
      </c>
      <c r="K6" s="8">
        <v>0</v>
      </c>
      <c r="L6" s="8">
        <v>0</v>
      </c>
      <c r="M6" s="8">
        <v>0</v>
      </c>
      <c r="N6" s="9">
        <f t="shared" si="0"/>
        <v>16</v>
      </c>
      <c r="O6" s="8">
        <v>6</v>
      </c>
      <c r="P6" s="8">
        <v>10</v>
      </c>
    </row>
    <row r="7" spans="1:16" ht="45" customHeight="1" x14ac:dyDescent="0.3">
      <c r="A7" s="10" t="s">
        <v>45</v>
      </c>
      <c r="B7" s="11" t="s">
        <v>32</v>
      </c>
      <c r="C7" s="11" t="s">
        <v>23</v>
      </c>
      <c r="D7" s="11" t="s">
        <v>24</v>
      </c>
      <c r="E7" s="11" t="s">
        <v>29</v>
      </c>
      <c r="F7" s="11" t="s">
        <v>34</v>
      </c>
      <c r="G7" s="11" t="s">
        <v>46</v>
      </c>
      <c r="H7" s="11" t="s">
        <v>47</v>
      </c>
      <c r="I7" s="12">
        <v>7</v>
      </c>
      <c r="J7" s="12">
        <v>3</v>
      </c>
      <c r="K7" s="12">
        <v>0</v>
      </c>
      <c r="L7" s="12">
        <v>0</v>
      </c>
      <c r="M7" s="12">
        <v>0</v>
      </c>
      <c r="N7" s="9">
        <f t="shared" si="0"/>
        <v>10</v>
      </c>
      <c r="O7" s="12">
        <v>3</v>
      </c>
      <c r="P7" s="12">
        <v>7</v>
      </c>
    </row>
    <row r="8" spans="1:16" ht="45" customHeight="1" x14ac:dyDescent="0.3">
      <c r="A8" s="6" t="s">
        <v>48</v>
      </c>
      <c r="B8" s="7" t="s">
        <v>49</v>
      </c>
      <c r="C8" s="7" t="s">
        <v>23</v>
      </c>
      <c r="D8" s="7" t="s">
        <v>24</v>
      </c>
      <c r="E8" s="7" t="s">
        <v>25</v>
      </c>
      <c r="F8" s="7" t="s">
        <v>26</v>
      </c>
      <c r="G8" s="7" t="s">
        <v>50</v>
      </c>
      <c r="H8" s="7" t="s">
        <v>51</v>
      </c>
      <c r="I8" s="8">
        <v>7</v>
      </c>
      <c r="J8" s="8">
        <v>0</v>
      </c>
      <c r="K8" s="8">
        <v>0</v>
      </c>
      <c r="L8" s="8">
        <v>0</v>
      </c>
      <c r="M8" s="8">
        <v>0</v>
      </c>
      <c r="N8" s="9">
        <f t="shared" si="0"/>
        <v>7</v>
      </c>
      <c r="O8" s="8">
        <v>5</v>
      </c>
      <c r="P8" s="8">
        <v>2</v>
      </c>
    </row>
    <row r="9" spans="1:16" ht="45" customHeight="1" x14ac:dyDescent="0.3">
      <c r="A9" s="10" t="s">
        <v>52</v>
      </c>
      <c r="B9" s="11" t="s">
        <v>53</v>
      </c>
      <c r="C9" s="11" t="s">
        <v>23</v>
      </c>
      <c r="D9" s="11" t="s">
        <v>24</v>
      </c>
      <c r="E9" s="11" t="s">
        <v>29</v>
      </c>
      <c r="F9" s="11" t="s">
        <v>26</v>
      </c>
      <c r="G9" s="11" t="s">
        <v>54</v>
      </c>
      <c r="H9" s="11" t="s">
        <v>55</v>
      </c>
      <c r="I9" s="12">
        <v>8</v>
      </c>
      <c r="J9" s="12">
        <v>1</v>
      </c>
      <c r="K9" s="12">
        <v>0</v>
      </c>
      <c r="L9" s="12">
        <v>2</v>
      </c>
      <c r="M9" s="12">
        <v>0</v>
      </c>
      <c r="N9" s="9">
        <f t="shared" si="0"/>
        <v>11</v>
      </c>
      <c r="O9" s="12">
        <v>5</v>
      </c>
      <c r="P9" s="12">
        <v>6</v>
      </c>
    </row>
    <row r="10" spans="1:16" ht="45" customHeight="1" x14ac:dyDescent="0.3">
      <c r="A10" s="6" t="s">
        <v>56</v>
      </c>
      <c r="B10" s="7" t="s">
        <v>53</v>
      </c>
      <c r="C10" s="7" t="s">
        <v>23</v>
      </c>
      <c r="D10" s="7" t="s">
        <v>24</v>
      </c>
      <c r="E10" s="7" t="s">
        <v>29</v>
      </c>
      <c r="F10" s="7" t="s">
        <v>26</v>
      </c>
      <c r="G10" s="7" t="s">
        <v>54</v>
      </c>
      <c r="H10" s="7" t="s">
        <v>57</v>
      </c>
      <c r="I10" s="8">
        <v>6</v>
      </c>
      <c r="J10" s="8">
        <v>0</v>
      </c>
      <c r="K10" s="8">
        <v>0</v>
      </c>
      <c r="L10" s="8">
        <v>0</v>
      </c>
      <c r="M10" s="8">
        <v>0</v>
      </c>
      <c r="N10" s="9">
        <f t="shared" si="0"/>
        <v>6</v>
      </c>
      <c r="O10" s="8">
        <v>1</v>
      </c>
      <c r="P10" s="8">
        <v>5</v>
      </c>
    </row>
    <row r="11" spans="1:16" ht="45" customHeight="1" x14ac:dyDescent="0.3">
      <c r="A11" s="10" t="s">
        <v>58</v>
      </c>
      <c r="B11" s="11" t="s">
        <v>53</v>
      </c>
      <c r="C11" s="11" t="s">
        <v>23</v>
      </c>
      <c r="D11" s="11" t="s">
        <v>24</v>
      </c>
      <c r="E11" s="11" t="s">
        <v>29</v>
      </c>
      <c r="F11" s="11" t="s">
        <v>26</v>
      </c>
      <c r="G11" s="11" t="s">
        <v>54</v>
      </c>
      <c r="H11" s="11" t="s">
        <v>59</v>
      </c>
      <c r="I11" s="12">
        <v>7</v>
      </c>
      <c r="J11" s="12">
        <v>2</v>
      </c>
      <c r="K11" s="12">
        <v>0</v>
      </c>
      <c r="L11" s="12">
        <v>0</v>
      </c>
      <c r="M11" s="12">
        <v>0</v>
      </c>
      <c r="N11" s="9">
        <f t="shared" si="0"/>
        <v>9</v>
      </c>
      <c r="O11" s="12">
        <v>4</v>
      </c>
      <c r="P11" s="12">
        <v>5</v>
      </c>
    </row>
    <row r="12" spans="1:16" ht="100" customHeight="1" x14ac:dyDescent="0.3">
      <c r="A12" s="6" t="s">
        <v>60</v>
      </c>
      <c r="B12" s="7" t="s">
        <v>61</v>
      </c>
      <c r="C12" s="7" t="s">
        <v>23</v>
      </c>
      <c r="D12" s="7" t="s">
        <v>33</v>
      </c>
      <c r="E12" s="7" t="s">
        <v>37</v>
      </c>
      <c r="F12" s="7" t="s">
        <v>38</v>
      </c>
      <c r="G12" s="7" t="s">
        <v>62</v>
      </c>
      <c r="H12" s="7" t="s">
        <v>63</v>
      </c>
      <c r="I12" s="8">
        <v>7</v>
      </c>
      <c r="J12" s="8">
        <v>0</v>
      </c>
      <c r="K12" s="8">
        <v>0</v>
      </c>
      <c r="L12" s="8">
        <v>0</v>
      </c>
      <c r="M12" s="8">
        <v>0</v>
      </c>
      <c r="N12" s="9">
        <f t="shared" si="0"/>
        <v>7</v>
      </c>
      <c r="O12" s="8">
        <v>0</v>
      </c>
      <c r="P12" s="8">
        <v>7</v>
      </c>
    </row>
    <row r="13" spans="1:16" ht="45" customHeight="1" x14ac:dyDescent="0.3">
      <c r="A13" s="10" t="s">
        <v>64</v>
      </c>
      <c r="B13" s="11" t="s">
        <v>65</v>
      </c>
      <c r="C13" s="11" t="s">
        <v>23</v>
      </c>
      <c r="D13" s="11" t="s">
        <v>24</v>
      </c>
      <c r="E13" s="11" t="s">
        <v>37</v>
      </c>
      <c r="F13" s="11" t="s">
        <v>38</v>
      </c>
      <c r="G13" s="11" t="s">
        <v>66</v>
      </c>
      <c r="H13" s="11" t="s">
        <v>67</v>
      </c>
      <c r="I13" s="12">
        <v>8</v>
      </c>
      <c r="J13" s="12">
        <v>0</v>
      </c>
      <c r="K13" s="12">
        <v>1</v>
      </c>
      <c r="L13" s="12">
        <v>0</v>
      </c>
      <c r="M13" s="12">
        <v>0</v>
      </c>
      <c r="N13" s="9">
        <f t="shared" si="0"/>
        <v>9</v>
      </c>
      <c r="O13" s="12">
        <v>6</v>
      </c>
      <c r="P13" s="12">
        <v>3</v>
      </c>
    </row>
    <row r="14" spans="1:16" ht="45" customHeight="1" x14ac:dyDescent="0.3">
      <c r="A14" s="6" t="s">
        <v>68</v>
      </c>
      <c r="B14" s="7" t="s">
        <v>69</v>
      </c>
      <c r="C14" s="7" t="s">
        <v>23</v>
      </c>
      <c r="D14" s="7" t="s">
        <v>24</v>
      </c>
      <c r="E14" s="7" t="s">
        <v>37</v>
      </c>
      <c r="F14" s="7" t="s">
        <v>38</v>
      </c>
      <c r="G14" s="7" t="s">
        <v>70</v>
      </c>
      <c r="H14" s="7" t="s">
        <v>71</v>
      </c>
      <c r="I14" s="8">
        <v>13</v>
      </c>
      <c r="J14" s="8">
        <v>0</v>
      </c>
      <c r="K14" s="8">
        <v>0</v>
      </c>
      <c r="L14" s="8">
        <v>0</v>
      </c>
      <c r="M14" s="8">
        <v>1</v>
      </c>
      <c r="N14" s="9">
        <f t="shared" si="0"/>
        <v>14</v>
      </c>
      <c r="O14" s="8">
        <v>8</v>
      </c>
      <c r="P14" s="8">
        <v>6</v>
      </c>
    </row>
    <row r="15" spans="1:16" ht="45" customHeight="1" x14ac:dyDescent="0.3">
      <c r="A15" s="10" t="s">
        <v>72</v>
      </c>
      <c r="B15" s="11" t="s">
        <v>73</v>
      </c>
      <c r="C15" s="11" t="s">
        <v>23</v>
      </c>
      <c r="D15" s="11" t="s">
        <v>24</v>
      </c>
      <c r="E15" s="11" t="s">
        <v>25</v>
      </c>
      <c r="F15" s="11" t="s">
        <v>74</v>
      </c>
      <c r="G15" s="11" t="s">
        <v>75</v>
      </c>
      <c r="H15" s="11" t="s">
        <v>76</v>
      </c>
      <c r="I15" s="12">
        <v>6</v>
      </c>
      <c r="J15" s="12">
        <v>0</v>
      </c>
      <c r="K15" s="12">
        <v>0</v>
      </c>
      <c r="L15" s="12">
        <v>0</v>
      </c>
      <c r="M15" s="12">
        <v>2</v>
      </c>
      <c r="N15" s="9">
        <f t="shared" si="0"/>
        <v>8</v>
      </c>
      <c r="O15" s="12">
        <v>3</v>
      </c>
      <c r="P15" s="12">
        <v>5</v>
      </c>
    </row>
    <row r="16" spans="1:16" ht="220" customHeight="1" x14ac:dyDescent="0.3">
      <c r="A16" s="6" t="s">
        <v>77</v>
      </c>
      <c r="B16" s="7" t="s">
        <v>73</v>
      </c>
      <c r="C16" s="7" t="s">
        <v>23</v>
      </c>
      <c r="D16" s="7" t="s">
        <v>24</v>
      </c>
      <c r="E16" s="7" t="s">
        <v>29</v>
      </c>
      <c r="F16" s="7" t="s">
        <v>78</v>
      </c>
      <c r="G16" s="7" t="s">
        <v>79</v>
      </c>
      <c r="H16" s="7" t="s">
        <v>80</v>
      </c>
      <c r="I16" s="8">
        <v>17</v>
      </c>
      <c r="J16" s="8">
        <v>0</v>
      </c>
      <c r="K16" s="8">
        <v>0</v>
      </c>
      <c r="L16" s="8">
        <v>0</v>
      </c>
      <c r="M16" s="8">
        <v>0</v>
      </c>
      <c r="N16" s="9">
        <f t="shared" si="0"/>
        <v>17</v>
      </c>
      <c r="O16" s="8">
        <v>17</v>
      </c>
      <c r="P16" s="8">
        <v>0</v>
      </c>
    </row>
    <row r="17" spans="1:16" ht="70" customHeight="1" x14ac:dyDescent="0.3">
      <c r="A17" s="10" t="s">
        <v>81</v>
      </c>
      <c r="B17" s="11" t="s">
        <v>73</v>
      </c>
      <c r="C17" s="11" t="s">
        <v>23</v>
      </c>
      <c r="D17" s="11" t="s">
        <v>24</v>
      </c>
      <c r="E17" s="11" t="s">
        <v>25</v>
      </c>
      <c r="F17" s="11" t="s">
        <v>74</v>
      </c>
      <c r="G17" s="11" t="s">
        <v>75</v>
      </c>
      <c r="H17" s="11" t="s">
        <v>82</v>
      </c>
      <c r="I17" s="12">
        <v>9</v>
      </c>
      <c r="J17" s="12">
        <v>3</v>
      </c>
      <c r="K17" s="12">
        <v>0</v>
      </c>
      <c r="L17" s="12">
        <v>0</v>
      </c>
      <c r="M17" s="12">
        <v>0</v>
      </c>
      <c r="N17" s="9">
        <f t="shared" si="0"/>
        <v>12</v>
      </c>
      <c r="O17" s="12">
        <v>11</v>
      </c>
      <c r="P17" s="12">
        <v>1</v>
      </c>
    </row>
    <row r="18" spans="1:16" ht="70" customHeight="1" x14ac:dyDescent="0.3">
      <c r="A18" s="6" t="s">
        <v>83</v>
      </c>
      <c r="B18" s="7" t="s">
        <v>73</v>
      </c>
      <c r="C18" s="7" t="s">
        <v>23</v>
      </c>
      <c r="D18" s="7" t="s">
        <v>24</v>
      </c>
      <c r="E18" s="7" t="s">
        <v>25</v>
      </c>
      <c r="F18" s="7" t="s">
        <v>74</v>
      </c>
      <c r="G18" s="7" t="s">
        <v>75</v>
      </c>
      <c r="H18" s="7" t="s">
        <v>84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9">
        <f t="shared" si="0"/>
        <v>8</v>
      </c>
      <c r="O18" s="8">
        <v>3</v>
      </c>
      <c r="P18" s="8">
        <v>5</v>
      </c>
    </row>
    <row r="19" spans="1:16" ht="45" customHeight="1" x14ac:dyDescent="0.3">
      <c r="A19" s="10" t="s">
        <v>85</v>
      </c>
      <c r="B19" s="11" t="s">
        <v>73</v>
      </c>
      <c r="C19" s="11" t="s">
        <v>23</v>
      </c>
      <c r="D19" s="11" t="s">
        <v>33</v>
      </c>
      <c r="E19" s="11" t="s">
        <v>37</v>
      </c>
      <c r="F19" s="11" t="s">
        <v>86</v>
      </c>
      <c r="G19" s="11" t="s">
        <v>87</v>
      </c>
      <c r="H19" s="11" t="s">
        <v>88</v>
      </c>
      <c r="I19" s="12">
        <v>13</v>
      </c>
      <c r="J19" s="12">
        <v>0</v>
      </c>
      <c r="K19" s="12">
        <v>1</v>
      </c>
      <c r="L19" s="12">
        <v>0</v>
      </c>
      <c r="M19" s="12">
        <v>0</v>
      </c>
      <c r="N19" s="9">
        <f t="shared" si="0"/>
        <v>14</v>
      </c>
      <c r="O19" s="12">
        <v>9</v>
      </c>
      <c r="P19" s="12">
        <v>5</v>
      </c>
    </row>
    <row r="20" spans="1:16" ht="45" customHeight="1" x14ac:dyDescent="0.3">
      <c r="A20" s="6" t="s">
        <v>89</v>
      </c>
      <c r="B20" s="7" t="s">
        <v>73</v>
      </c>
      <c r="C20" s="7" t="s">
        <v>23</v>
      </c>
      <c r="D20" s="7" t="s">
        <v>33</v>
      </c>
      <c r="E20" s="7" t="s">
        <v>90</v>
      </c>
      <c r="F20" s="7" t="s">
        <v>91</v>
      </c>
      <c r="G20" s="7" t="s">
        <v>92</v>
      </c>
      <c r="H20" s="7" t="s">
        <v>93</v>
      </c>
      <c r="I20" s="8">
        <v>2</v>
      </c>
      <c r="J20" s="8">
        <v>1</v>
      </c>
      <c r="K20" s="8">
        <v>0</v>
      </c>
      <c r="L20" s="8">
        <v>1</v>
      </c>
      <c r="M20" s="8">
        <v>0</v>
      </c>
      <c r="N20" s="9">
        <f t="shared" si="0"/>
        <v>4</v>
      </c>
      <c r="O20" s="8">
        <v>0</v>
      </c>
      <c r="P20" s="8">
        <v>4</v>
      </c>
    </row>
    <row r="21" spans="1:16" ht="45" customHeight="1" x14ac:dyDescent="0.3">
      <c r="A21" s="10" t="s">
        <v>94</v>
      </c>
      <c r="B21" s="11" t="s">
        <v>73</v>
      </c>
      <c r="C21" s="11" t="s">
        <v>23</v>
      </c>
      <c r="D21" s="11" t="s">
        <v>24</v>
      </c>
      <c r="E21" s="11" t="s">
        <v>95</v>
      </c>
      <c r="F21" s="11" t="s">
        <v>96</v>
      </c>
      <c r="G21" s="11" t="s">
        <v>97</v>
      </c>
      <c r="H21" s="11" t="s">
        <v>98</v>
      </c>
      <c r="I21" s="12">
        <v>7</v>
      </c>
      <c r="J21" s="12">
        <v>2</v>
      </c>
      <c r="K21" s="12">
        <v>0</v>
      </c>
      <c r="L21" s="12">
        <v>0</v>
      </c>
      <c r="M21" s="12">
        <v>0</v>
      </c>
      <c r="N21" s="9">
        <f t="shared" si="0"/>
        <v>9</v>
      </c>
      <c r="O21" s="12">
        <v>9</v>
      </c>
      <c r="P21" s="12">
        <v>0</v>
      </c>
    </row>
    <row r="22" spans="1:16" ht="45" customHeight="1" x14ac:dyDescent="0.3">
      <c r="A22" s="6" t="s">
        <v>99</v>
      </c>
      <c r="B22" s="7" t="s">
        <v>73</v>
      </c>
      <c r="C22" s="7" t="s">
        <v>23</v>
      </c>
      <c r="D22" s="7" t="s">
        <v>24</v>
      </c>
      <c r="E22" s="7" t="s">
        <v>95</v>
      </c>
      <c r="F22" s="7" t="s">
        <v>96</v>
      </c>
      <c r="G22" s="7" t="s">
        <v>328</v>
      </c>
      <c r="H22" s="7" t="s">
        <v>100</v>
      </c>
      <c r="I22" s="8">
        <v>9</v>
      </c>
      <c r="J22" s="8">
        <v>1</v>
      </c>
      <c r="K22" s="8">
        <v>0</v>
      </c>
      <c r="L22" s="8">
        <v>0</v>
      </c>
      <c r="M22" s="8">
        <v>0</v>
      </c>
      <c r="N22" s="9">
        <f t="shared" si="0"/>
        <v>10</v>
      </c>
      <c r="O22" s="8">
        <v>1</v>
      </c>
      <c r="P22" s="8">
        <v>9</v>
      </c>
    </row>
    <row r="23" spans="1:16" ht="55" customHeight="1" x14ac:dyDescent="0.3">
      <c r="A23" s="10" t="s">
        <v>101</v>
      </c>
      <c r="B23" s="11" t="s">
        <v>73</v>
      </c>
      <c r="C23" s="11" t="s">
        <v>23</v>
      </c>
      <c r="D23" s="11" t="s">
        <v>24</v>
      </c>
      <c r="E23" s="11" t="s">
        <v>25</v>
      </c>
      <c r="F23" s="11" t="s">
        <v>102</v>
      </c>
      <c r="G23" s="11" t="s">
        <v>75</v>
      </c>
      <c r="H23" s="11" t="s">
        <v>103</v>
      </c>
      <c r="I23" s="12">
        <v>14</v>
      </c>
      <c r="J23" s="12">
        <v>4</v>
      </c>
      <c r="K23" s="12">
        <v>0</v>
      </c>
      <c r="L23" s="12">
        <v>0</v>
      </c>
      <c r="M23" s="12">
        <v>0</v>
      </c>
      <c r="N23" s="9">
        <f t="shared" si="0"/>
        <v>18</v>
      </c>
      <c r="O23" s="12">
        <v>11</v>
      </c>
      <c r="P23" s="12">
        <v>7</v>
      </c>
    </row>
    <row r="24" spans="1:16" ht="45" customHeight="1" x14ac:dyDescent="0.3">
      <c r="A24" s="6" t="s">
        <v>104</v>
      </c>
      <c r="B24" s="7" t="s">
        <v>73</v>
      </c>
      <c r="C24" s="7" t="s">
        <v>23</v>
      </c>
      <c r="D24" s="7" t="s">
        <v>24</v>
      </c>
      <c r="E24" s="7" t="s">
        <v>25</v>
      </c>
      <c r="F24" s="7" t="s">
        <v>105</v>
      </c>
      <c r="G24" s="7" t="s">
        <v>75</v>
      </c>
      <c r="H24" s="7" t="s">
        <v>76</v>
      </c>
      <c r="I24" s="8">
        <v>15</v>
      </c>
      <c r="J24" s="8">
        <v>1</v>
      </c>
      <c r="K24" s="8">
        <v>0</v>
      </c>
      <c r="L24" s="8">
        <v>0</v>
      </c>
      <c r="M24" s="8">
        <v>0</v>
      </c>
      <c r="N24" s="9">
        <f t="shared" si="0"/>
        <v>16</v>
      </c>
      <c r="O24" s="8">
        <v>9</v>
      </c>
      <c r="P24" s="8">
        <v>7</v>
      </c>
    </row>
    <row r="25" spans="1:16" ht="45" customHeight="1" x14ac:dyDescent="0.3">
      <c r="A25" s="10" t="s">
        <v>106</v>
      </c>
      <c r="B25" s="11" t="s">
        <v>73</v>
      </c>
      <c r="C25" s="11" t="s">
        <v>23</v>
      </c>
      <c r="D25" s="11" t="s">
        <v>24</v>
      </c>
      <c r="E25" s="11" t="s">
        <v>25</v>
      </c>
      <c r="F25" s="11" t="s">
        <v>96</v>
      </c>
      <c r="G25" s="11" t="s">
        <v>75</v>
      </c>
      <c r="H25" s="11" t="s">
        <v>76</v>
      </c>
      <c r="I25" s="12">
        <v>9</v>
      </c>
      <c r="J25" s="12">
        <v>0</v>
      </c>
      <c r="K25" s="12">
        <v>0</v>
      </c>
      <c r="L25" s="12">
        <v>0</v>
      </c>
      <c r="M25" s="12">
        <v>0</v>
      </c>
      <c r="N25" s="9">
        <f t="shared" si="0"/>
        <v>9</v>
      </c>
      <c r="O25" s="12">
        <v>7</v>
      </c>
      <c r="P25" s="12">
        <v>2</v>
      </c>
    </row>
    <row r="26" spans="1:16" ht="45" customHeight="1" x14ac:dyDescent="0.3">
      <c r="A26" s="6" t="s">
        <v>107</v>
      </c>
      <c r="B26" s="7" t="s">
        <v>73</v>
      </c>
      <c r="C26" s="7" t="s">
        <v>23</v>
      </c>
      <c r="D26" s="7" t="s">
        <v>24</v>
      </c>
      <c r="E26" s="7" t="s">
        <v>25</v>
      </c>
      <c r="F26" s="7" t="s">
        <v>105</v>
      </c>
      <c r="G26" s="7" t="s">
        <v>75</v>
      </c>
      <c r="H26" s="7" t="s">
        <v>76</v>
      </c>
      <c r="I26" s="8">
        <v>10</v>
      </c>
      <c r="J26" s="8">
        <v>1</v>
      </c>
      <c r="K26" s="8">
        <v>0</v>
      </c>
      <c r="L26" s="8">
        <v>0</v>
      </c>
      <c r="M26" s="8">
        <v>0</v>
      </c>
      <c r="N26" s="9">
        <f t="shared" si="0"/>
        <v>11</v>
      </c>
      <c r="O26" s="8">
        <v>11</v>
      </c>
      <c r="P26" s="8">
        <v>0</v>
      </c>
    </row>
    <row r="27" spans="1:16" ht="100" customHeight="1" x14ac:dyDescent="0.3">
      <c r="A27" s="10" t="s">
        <v>108</v>
      </c>
      <c r="B27" s="11" t="s">
        <v>73</v>
      </c>
      <c r="C27" s="11" t="s">
        <v>23</v>
      </c>
      <c r="D27" s="11" t="s">
        <v>24</v>
      </c>
      <c r="E27" s="11" t="s">
        <v>25</v>
      </c>
      <c r="F27" s="11" t="s">
        <v>105</v>
      </c>
      <c r="G27" s="11" t="s">
        <v>75</v>
      </c>
      <c r="H27" s="11" t="s">
        <v>109</v>
      </c>
      <c r="I27" s="12">
        <v>15</v>
      </c>
      <c r="J27" s="12">
        <v>2</v>
      </c>
      <c r="K27" s="12">
        <v>0</v>
      </c>
      <c r="L27" s="12">
        <v>0</v>
      </c>
      <c r="M27" s="12">
        <v>1</v>
      </c>
      <c r="N27" s="9">
        <f t="shared" si="0"/>
        <v>18</v>
      </c>
      <c r="O27" s="12">
        <v>18</v>
      </c>
      <c r="P27" s="12">
        <v>0</v>
      </c>
    </row>
    <row r="28" spans="1:16" ht="45" customHeight="1" x14ac:dyDescent="0.3">
      <c r="A28" s="6" t="s">
        <v>110</v>
      </c>
      <c r="B28" s="7" t="s">
        <v>73</v>
      </c>
      <c r="C28" s="7" t="s">
        <v>23</v>
      </c>
      <c r="D28" s="7" t="s">
        <v>33</v>
      </c>
      <c r="E28" s="7" t="s">
        <v>111</v>
      </c>
      <c r="F28" s="7" t="s">
        <v>112</v>
      </c>
      <c r="G28" s="7" t="s">
        <v>113</v>
      </c>
      <c r="H28" s="7" t="s">
        <v>114</v>
      </c>
      <c r="I28" s="8">
        <v>1</v>
      </c>
      <c r="J28" s="8">
        <v>0</v>
      </c>
      <c r="K28" s="8">
        <v>2</v>
      </c>
      <c r="L28" s="8">
        <v>1</v>
      </c>
      <c r="M28" s="8">
        <v>0</v>
      </c>
      <c r="N28" s="9">
        <f t="shared" si="0"/>
        <v>4</v>
      </c>
      <c r="O28" s="8">
        <v>0</v>
      </c>
      <c r="P28" s="8">
        <v>4</v>
      </c>
    </row>
    <row r="29" spans="1:16" ht="115" customHeight="1" x14ac:dyDescent="0.3">
      <c r="A29" s="10" t="s">
        <v>115</v>
      </c>
      <c r="B29" s="11" t="s">
        <v>73</v>
      </c>
      <c r="C29" s="11" t="s">
        <v>23</v>
      </c>
      <c r="D29" s="11" t="s">
        <v>24</v>
      </c>
      <c r="E29" s="11" t="s">
        <v>25</v>
      </c>
      <c r="F29" s="11" t="s">
        <v>116</v>
      </c>
      <c r="G29" s="11" t="s">
        <v>75</v>
      </c>
      <c r="H29" s="11" t="s">
        <v>117</v>
      </c>
      <c r="I29" s="12">
        <v>9</v>
      </c>
      <c r="J29" s="12">
        <v>4</v>
      </c>
      <c r="K29" s="12">
        <v>0</v>
      </c>
      <c r="L29" s="12">
        <v>3</v>
      </c>
      <c r="M29" s="12">
        <v>0</v>
      </c>
      <c r="N29" s="9">
        <f t="shared" si="0"/>
        <v>16</v>
      </c>
      <c r="O29" s="12">
        <v>4</v>
      </c>
      <c r="P29" s="12">
        <v>12</v>
      </c>
    </row>
    <row r="30" spans="1:16" ht="45" customHeight="1" x14ac:dyDescent="0.3">
      <c r="A30" s="6" t="s">
        <v>118</v>
      </c>
      <c r="B30" s="7" t="s">
        <v>73</v>
      </c>
      <c r="C30" s="7" t="s">
        <v>23</v>
      </c>
      <c r="D30" s="7" t="s">
        <v>24</v>
      </c>
      <c r="E30" s="7" t="s">
        <v>25</v>
      </c>
      <c r="F30" s="7" t="s">
        <v>74</v>
      </c>
      <c r="G30" s="7" t="s">
        <v>75</v>
      </c>
      <c r="H30" s="7" t="s">
        <v>76</v>
      </c>
      <c r="I30" s="8">
        <v>10</v>
      </c>
      <c r="J30" s="8">
        <v>0</v>
      </c>
      <c r="K30" s="8">
        <v>0</v>
      </c>
      <c r="L30" s="8">
        <v>0</v>
      </c>
      <c r="M30" s="8">
        <v>0</v>
      </c>
      <c r="N30" s="9">
        <f t="shared" si="0"/>
        <v>10</v>
      </c>
      <c r="O30" s="8">
        <v>7</v>
      </c>
      <c r="P30" s="8">
        <v>3</v>
      </c>
    </row>
    <row r="31" spans="1:16" ht="45" customHeight="1" x14ac:dyDescent="0.3">
      <c r="A31" s="10" t="s">
        <v>119</v>
      </c>
      <c r="B31" s="11" t="s">
        <v>73</v>
      </c>
      <c r="C31" s="11" t="s">
        <v>23</v>
      </c>
      <c r="D31" s="11" t="s">
        <v>24</v>
      </c>
      <c r="E31" s="11" t="s">
        <v>25</v>
      </c>
      <c r="F31" s="11" t="s">
        <v>116</v>
      </c>
      <c r="G31" s="11" t="s">
        <v>75</v>
      </c>
      <c r="H31" s="11" t="s">
        <v>120</v>
      </c>
      <c r="I31" s="12">
        <v>12</v>
      </c>
      <c r="J31" s="12">
        <v>1</v>
      </c>
      <c r="K31" s="12">
        <v>0</v>
      </c>
      <c r="L31" s="12">
        <v>0</v>
      </c>
      <c r="M31" s="12">
        <v>0</v>
      </c>
      <c r="N31" s="9">
        <f t="shared" si="0"/>
        <v>13</v>
      </c>
      <c r="O31" s="12">
        <v>11</v>
      </c>
      <c r="P31" s="12">
        <v>2</v>
      </c>
    </row>
    <row r="32" spans="1:16" ht="70" customHeight="1" x14ac:dyDescent="0.3">
      <c r="A32" s="6" t="s">
        <v>121</v>
      </c>
      <c r="B32" s="7" t="s">
        <v>73</v>
      </c>
      <c r="C32" s="7" t="s">
        <v>23</v>
      </c>
      <c r="D32" s="7" t="s">
        <v>24</v>
      </c>
      <c r="E32" s="7" t="s">
        <v>25</v>
      </c>
      <c r="F32" s="7" t="s">
        <v>74</v>
      </c>
      <c r="G32" s="7" t="s">
        <v>75</v>
      </c>
      <c r="H32" s="7" t="s">
        <v>122</v>
      </c>
      <c r="I32" s="8">
        <v>6</v>
      </c>
      <c r="J32" s="8">
        <v>8</v>
      </c>
      <c r="K32" s="8">
        <v>0</v>
      </c>
      <c r="L32" s="8">
        <v>0</v>
      </c>
      <c r="M32" s="8">
        <v>0</v>
      </c>
      <c r="N32" s="9">
        <f t="shared" si="0"/>
        <v>14</v>
      </c>
      <c r="O32" s="8">
        <v>12</v>
      </c>
      <c r="P32" s="8">
        <v>2</v>
      </c>
    </row>
    <row r="33" spans="1:16" ht="45" customHeight="1" x14ac:dyDescent="0.3">
      <c r="A33" s="10" t="s">
        <v>123</v>
      </c>
      <c r="B33" s="11" t="s">
        <v>73</v>
      </c>
      <c r="C33" s="11" t="s">
        <v>23</v>
      </c>
      <c r="D33" s="11" t="s">
        <v>33</v>
      </c>
      <c r="E33" s="11" t="s">
        <v>29</v>
      </c>
      <c r="F33" s="11" t="s">
        <v>34</v>
      </c>
      <c r="G33" s="11" t="s">
        <v>124</v>
      </c>
      <c r="H33" s="11" t="s">
        <v>125</v>
      </c>
      <c r="I33" s="12">
        <v>10</v>
      </c>
      <c r="J33" s="12">
        <v>1</v>
      </c>
      <c r="K33" s="12">
        <v>0</v>
      </c>
      <c r="L33" s="12">
        <v>0</v>
      </c>
      <c r="M33" s="12">
        <v>0</v>
      </c>
      <c r="N33" s="9">
        <f t="shared" si="0"/>
        <v>11</v>
      </c>
      <c r="O33" s="12">
        <v>3</v>
      </c>
      <c r="P33" s="12">
        <v>8</v>
      </c>
    </row>
    <row r="34" spans="1:16" ht="45" customHeight="1" x14ac:dyDescent="0.3">
      <c r="A34" s="6" t="s">
        <v>126</v>
      </c>
      <c r="B34" s="7" t="s">
        <v>73</v>
      </c>
      <c r="C34" s="7" t="s">
        <v>23</v>
      </c>
      <c r="D34" s="7" t="s">
        <v>24</v>
      </c>
      <c r="E34" s="7" t="s">
        <v>37</v>
      </c>
      <c r="F34" s="7" t="s">
        <v>38</v>
      </c>
      <c r="G34" s="7" t="s">
        <v>127</v>
      </c>
      <c r="H34" s="7" t="s">
        <v>128</v>
      </c>
      <c r="I34" s="8">
        <v>11</v>
      </c>
      <c r="J34" s="8">
        <v>2</v>
      </c>
      <c r="K34" s="8">
        <v>1</v>
      </c>
      <c r="L34" s="8">
        <v>0</v>
      </c>
      <c r="M34" s="8">
        <v>0</v>
      </c>
      <c r="N34" s="9">
        <f t="shared" ref="N34:N65" si="1">SUM(I34:M34)</f>
        <v>14</v>
      </c>
      <c r="O34" s="8">
        <v>11</v>
      </c>
      <c r="P34" s="8">
        <v>3</v>
      </c>
    </row>
    <row r="35" spans="1:16" ht="130" customHeight="1" x14ac:dyDescent="0.3">
      <c r="A35" s="10" t="s">
        <v>129</v>
      </c>
      <c r="B35" s="11" t="s">
        <v>73</v>
      </c>
      <c r="C35" s="11" t="s">
        <v>23</v>
      </c>
      <c r="D35" s="11" t="s">
        <v>24</v>
      </c>
      <c r="E35" s="11" t="s">
        <v>29</v>
      </c>
      <c r="F35" s="11" t="s">
        <v>78</v>
      </c>
      <c r="G35" s="11" t="s">
        <v>130</v>
      </c>
      <c r="H35" s="11" t="s">
        <v>131</v>
      </c>
      <c r="I35" s="12">
        <v>18</v>
      </c>
      <c r="J35" s="12">
        <v>0</v>
      </c>
      <c r="K35" s="12">
        <v>0</v>
      </c>
      <c r="L35" s="12">
        <v>0</v>
      </c>
      <c r="M35" s="12">
        <v>0</v>
      </c>
      <c r="N35" s="9">
        <f t="shared" si="1"/>
        <v>18</v>
      </c>
      <c r="O35" s="12">
        <v>18</v>
      </c>
      <c r="P35" s="12">
        <v>0</v>
      </c>
    </row>
    <row r="36" spans="1:16" ht="45" customHeight="1" x14ac:dyDescent="0.3">
      <c r="A36" s="6" t="s">
        <v>132</v>
      </c>
      <c r="B36" s="7" t="s">
        <v>73</v>
      </c>
      <c r="C36" s="7" t="s">
        <v>23</v>
      </c>
      <c r="D36" s="7" t="s">
        <v>24</v>
      </c>
      <c r="E36" s="7" t="s">
        <v>25</v>
      </c>
      <c r="F36" s="7" t="s">
        <v>133</v>
      </c>
      <c r="G36" s="7" t="s">
        <v>75</v>
      </c>
      <c r="H36" s="7" t="s">
        <v>120</v>
      </c>
      <c r="I36" s="8">
        <v>7</v>
      </c>
      <c r="J36" s="8">
        <v>2</v>
      </c>
      <c r="K36" s="8">
        <v>0</v>
      </c>
      <c r="L36" s="8">
        <v>0</v>
      </c>
      <c r="M36" s="8">
        <v>0</v>
      </c>
      <c r="N36" s="9">
        <f t="shared" si="1"/>
        <v>9</v>
      </c>
      <c r="O36" s="8">
        <v>8</v>
      </c>
      <c r="P36" s="8">
        <v>1</v>
      </c>
    </row>
    <row r="37" spans="1:16" ht="45" customHeight="1" x14ac:dyDescent="0.3">
      <c r="A37" s="10" t="s">
        <v>134</v>
      </c>
      <c r="B37" s="11" t="s">
        <v>73</v>
      </c>
      <c r="C37" s="11" t="s">
        <v>23</v>
      </c>
      <c r="D37" s="11" t="s">
        <v>24</v>
      </c>
      <c r="E37" s="11" t="s">
        <v>25</v>
      </c>
      <c r="F37" s="11" t="s">
        <v>74</v>
      </c>
      <c r="G37" s="11" t="s">
        <v>328</v>
      </c>
      <c r="H37" s="11" t="s">
        <v>120</v>
      </c>
      <c r="I37" s="12">
        <v>9</v>
      </c>
      <c r="J37" s="12">
        <v>1</v>
      </c>
      <c r="K37" s="12">
        <v>0</v>
      </c>
      <c r="L37" s="12">
        <v>0</v>
      </c>
      <c r="M37" s="12">
        <v>0</v>
      </c>
      <c r="N37" s="9">
        <f t="shared" si="1"/>
        <v>10</v>
      </c>
      <c r="O37" s="12">
        <v>7</v>
      </c>
      <c r="P37" s="12">
        <v>3</v>
      </c>
    </row>
    <row r="38" spans="1:16" ht="45" customHeight="1" x14ac:dyDescent="0.3">
      <c r="A38" s="6" t="s">
        <v>135</v>
      </c>
      <c r="B38" s="7" t="s">
        <v>73</v>
      </c>
      <c r="C38" s="7" t="s">
        <v>23</v>
      </c>
      <c r="D38" s="7" t="s">
        <v>24</v>
      </c>
      <c r="E38" s="7" t="s">
        <v>25</v>
      </c>
      <c r="F38" s="7" t="s">
        <v>74</v>
      </c>
      <c r="G38" s="7" t="s">
        <v>75</v>
      </c>
      <c r="H38" s="7" t="s">
        <v>76</v>
      </c>
      <c r="I38" s="8">
        <v>7</v>
      </c>
      <c r="J38" s="8">
        <v>1</v>
      </c>
      <c r="K38" s="8">
        <v>0</v>
      </c>
      <c r="L38" s="8">
        <v>0</v>
      </c>
      <c r="M38" s="8">
        <v>1</v>
      </c>
      <c r="N38" s="9">
        <f t="shared" si="1"/>
        <v>9</v>
      </c>
      <c r="O38" s="8">
        <v>8</v>
      </c>
      <c r="P38" s="8">
        <v>1</v>
      </c>
    </row>
    <row r="39" spans="1:16" ht="70" customHeight="1" x14ac:dyDescent="0.3">
      <c r="A39" s="10" t="s">
        <v>136</v>
      </c>
      <c r="B39" s="11" t="s">
        <v>73</v>
      </c>
      <c r="C39" s="11" t="s">
        <v>23</v>
      </c>
      <c r="D39" s="11" t="s">
        <v>24</v>
      </c>
      <c r="E39" s="11" t="s">
        <v>137</v>
      </c>
      <c r="F39" s="11" t="s">
        <v>26</v>
      </c>
      <c r="G39" s="11" t="s">
        <v>97</v>
      </c>
      <c r="H39" s="11" t="s">
        <v>138</v>
      </c>
      <c r="I39" s="12">
        <v>3</v>
      </c>
      <c r="J39" s="12">
        <v>0</v>
      </c>
      <c r="K39" s="12">
        <v>0</v>
      </c>
      <c r="L39" s="12">
        <v>4</v>
      </c>
      <c r="M39" s="12">
        <v>0</v>
      </c>
      <c r="N39" s="9">
        <f t="shared" si="1"/>
        <v>7</v>
      </c>
      <c r="O39" s="12">
        <v>3</v>
      </c>
      <c r="P39" s="12">
        <v>4</v>
      </c>
    </row>
    <row r="40" spans="1:16" ht="45" customHeight="1" x14ac:dyDescent="0.3">
      <c r="A40" s="6" t="s">
        <v>139</v>
      </c>
      <c r="B40" s="7" t="s">
        <v>73</v>
      </c>
      <c r="C40" s="7" t="s">
        <v>23</v>
      </c>
      <c r="D40" s="7" t="s">
        <v>24</v>
      </c>
      <c r="E40" s="7" t="s">
        <v>25</v>
      </c>
      <c r="F40" s="7" t="s">
        <v>140</v>
      </c>
      <c r="G40" s="7" t="s">
        <v>75</v>
      </c>
      <c r="H40" s="7" t="s">
        <v>141</v>
      </c>
      <c r="I40" s="8">
        <v>12</v>
      </c>
      <c r="J40" s="8">
        <v>0</v>
      </c>
      <c r="K40" s="8">
        <v>0</v>
      </c>
      <c r="L40" s="8">
        <v>1</v>
      </c>
      <c r="M40" s="8">
        <v>0</v>
      </c>
      <c r="N40" s="9">
        <f t="shared" si="1"/>
        <v>13</v>
      </c>
      <c r="O40" s="8">
        <v>6</v>
      </c>
      <c r="P40" s="8">
        <v>7</v>
      </c>
    </row>
    <row r="41" spans="1:16" ht="115" customHeight="1" x14ac:dyDescent="0.3">
      <c r="A41" s="10" t="s">
        <v>142</v>
      </c>
      <c r="B41" s="11" t="s">
        <v>73</v>
      </c>
      <c r="C41" s="11" t="s">
        <v>143</v>
      </c>
      <c r="D41" s="11" t="s">
        <v>24</v>
      </c>
      <c r="E41" s="11" t="s">
        <v>37</v>
      </c>
      <c r="F41" s="11" t="s">
        <v>42</v>
      </c>
      <c r="G41" s="11" t="s">
        <v>329</v>
      </c>
      <c r="H41" s="11" t="s">
        <v>144</v>
      </c>
      <c r="I41" s="12">
        <v>13</v>
      </c>
      <c r="J41" s="12">
        <v>1</v>
      </c>
      <c r="K41" s="12">
        <v>0</v>
      </c>
      <c r="L41" s="12">
        <v>0</v>
      </c>
      <c r="M41" s="12">
        <v>1</v>
      </c>
      <c r="N41" s="9">
        <f t="shared" si="1"/>
        <v>15</v>
      </c>
      <c r="O41" s="12">
        <v>13</v>
      </c>
      <c r="P41" s="12">
        <v>2</v>
      </c>
    </row>
    <row r="42" spans="1:16" ht="70" customHeight="1" x14ac:dyDescent="0.3">
      <c r="A42" s="6" t="s">
        <v>145</v>
      </c>
      <c r="B42" s="7" t="s">
        <v>73</v>
      </c>
      <c r="C42" s="7" t="s">
        <v>23</v>
      </c>
      <c r="D42" s="7" t="s">
        <v>24</v>
      </c>
      <c r="E42" s="7" t="s">
        <v>95</v>
      </c>
      <c r="F42" s="7" t="s">
        <v>26</v>
      </c>
      <c r="G42" s="7" t="s">
        <v>97</v>
      </c>
      <c r="H42" s="7" t="s">
        <v>146</v>
      </c>
      <c r="I42" s="8">
        <v>6</v>
      </c>
      <c r="J42" s="8">
        <v>0</v>
      </c>
      <c r="K42" s="8">
        <v>0</v>
      </c>
      <c r="L42" s="8">
        <v>0</v>
      </c>
      <c r="M42" s="8">
        <v>0</v>
      </c>
      <c r="N42" s="9">
        <f t="shared" si="1"/>
        <v>6</v>
      </c>
      <c r="O42" s="8">
        <v>3</v>
      </c>
      <c r="P42" s="8">
        <v>3</v>
      </c>
    </row>
    <row r="43" spans="1:16" ht="100" customHeight="1" x14ac:dyDescent="0.3">
      <c r="A43" s="10" t="s">
        <v>147</v>
      </c>
      <c r="B43" s="11" t="s">
        <v>73</v>
      </c>
      <c r="C43" s="11" t="s">
        <v>23</v>
      </c>
      <c r="D43" s="11" t="s">
        <v>24</v>
      </c>
      <c r="E43" s="11" t="s">
        <v>37</v>
      </c>
      <c r="F43" s="11" t="s">
        <v>42</v>
      </c>
      <c r="G43" s="11" t="s">
        <v>148</v>
      </c>
      <c r="H43" s="11" t="s">
        <v>338</v>
      </c>
      <c r="I43" s="12">
        <v>10</v>
      </c>
      <c r="J43" s="12">
        <v>0</v>
      </c>
      <c r="K43" s="12">
        <v>0</v>
      </c>
      <c r="L43" s="12">
        <v>0</v>
      </c>
      <c r="M43" s="12">
        <v>2</v>
      </c>
      <c r="N43" s="9">
        <f t="shared" si="1"/>
        <v>12</v>
      </c>
      <c r="O43" s="12">
        <v>11</v>
      </c>
      <c r="P43" s="12">
        <v>1</v>
      </c>
    </row>
    <row r="44" spans="1:16" ht="45" customHeight="1" x14ac:dyDescent="0.3">
      <c r="A44" s="6" t="s">
        <v>149</v>
      </c>
      <c r="B44" s="7" t="s">
        <v>73</v>
      </c>
      <c r="C44" s="7" t="s">
        <v>23</v>
      </c>
      <c r="D44" s="7" t="s">
        <v>24</v>
      </c>
      <c r="E44" s="7" t="s">
        <v>25</v>
      </c>
      <c r="F44" s="7" t="s">
        <v>105</v>
      </c>
      <c r="G44" s="7" t="s">
        <v>75</v>
      </c>
      <c r="H44" s="7" t="s">
        <v>150</v>
      </c>
      <c r="I44" s="8">
        <v>7</v>
      </c>
      <c r="J44" s="8">
        <v>1</v>
      </c>
      <c r="K44" s="8">
        <v>0</v>
      </c>
      <c r="L44" s="8">
        <v>3</v>
      </c>
      <c r="M44" s="8">
        <v>0</v>
      </c>
      <c r="N44" s="9">
        <f t="shared" si="1"/>
        <v>11</v>
      </c>
      <c r="O44" s="8">
        <v>10</v>
      </c>
      <c r="P44" s="8">
        <v>1</v>
      </c>
    </row>
    <row r="45" spans="1:16" ht="45" customHeight="1" x14ac:dyDescent="0.3">
      <c r="A45" s="10" t="s">
        <v>151</v>
      </c>
      <c r="B45" s="11" t="s">
        <v>73</v>
      </c>
      <c r="C45" s="11" t="s">
        <v>23</v>
      </c>
      <c r="D45" s="11" t="s">
        <v>24</v>
      </c>
      <c r="E45" s="11" t="s">
        <v>25</v>
      </c>
      <c r="F45" s="11" t="s">
        <v>116</v>
      </c>
      <c r="G45" s="11" t="s">
        <v>75</v>
      </c>
      <c r="H45" s="11" t="s">
        <v>98</v>
      </c>
      <c r="I45" s="12">
        <v>11</v>
      </c>
      <c r="J45" s="12">
        <v>2</v>
      </c>
      <c r="K45" s="12">
        <v>0</v>
      </c>
      <c r="L45" s="12">
        <v>0</v>
      </c>
      <c r="M45" s="12">
        <v>0</v>
      </c>
      <c r="N45" s="9">
        <f t="shared" si="1"/>
        <v>13</v>
      </c>
      <c r="O45" s="12">
        <v>13</v>
      </c>
      <c r="P45" s="12">
        <v>0</v>
      </c>
    </row>
    <row r="46" spans="1:16" ht="100" customHeight="1" x14ac:dyDescent="0.3">
      <c r="A46" s="6" t="s">
        <v>152</v>
      </c>
      <c r="B46" s="7" t="s">
        <v>73</v>
      </c>
      <c r="C46" s="7" t="s">
        <v>23</v>
      </c>
      <c r="D46" s="7" t="s">
        <v>24</v>
      </c>
      <c r="E46" s="7" t="s">
        <v>25</v>
      </c>
      <c r="F46" s="7" t="s">
        <v>116</v>
      </c>
      <c r="G46" s="7" t="s">
        <v>328</v>
      </c>
      <c r="H46" s="7" t="s">
        <v>153</v>
      </c>
      <c r="I46" s="8">
        <v>10</v>
      </c>
      <c r="J46" s="8">
        <v>0</v>
      </c>
      <c r="K46" s="8">
        <v>0</v>
      </c>
      <c r="L46" s="8">
        <v>0</v>
      </c>
      <c r="M46" s="8">
        <v>2</v>
      </c>
      <c r="N46" s="9">
        <f t="shared" si="1"/>
        <v>12</v>
      </c>
      <c r="O46" s="8">
        <v>5</v>
      </c>
      <c r="P46" s="8">
        <v>7</v>
      </c>
    </row>
    <row r="47" spans="1:16" ht="45" customHeight="1" x14ac:dyDescent="0.3">
      <c r="A47" s="10" t="s">
        <v>154</v>
      </c>
      <c r="B47" s="11" t="s">
        <v>73</v>
      </c>
      <c r="C47" s="11" t="s">
        <v>23</v>
      </c>
      <c r="D47" s="11" t="s">
        <v>33</v>
      </c>
      <c r="E47" s="11" t="s">
        <v>37</v>
      </c>
      <c r="F47" s="11" t="s">
        <v>155</v>
      </c>
      <c r="G47" s="11" t="s">
        <v>156</v>
      </c>
      <c r="H47" s="11" t="s">
        <v>157</v>
      </c>
      <c r="I47" s="12">
        <v>8</v>
      </c>
      <c r="J47" s="12">
        <v>1</v>
      </c>
      <c r="K47" s="12">
        <v>0</v>
      </c>
      <c r="L47" s="12">
        <v>0</v>
      </c>
      <c r="M47" s="12">
        <v>0</v>
      </c>
      <c r="N47" s="9">
        <f t="shared" si="1"/>
        <v>9</v>
      </c>
      <c r="O47" s="12">
        <v>3</v>
      </c>
      <c r="P47" s="12">
        <v>6</v>
      </c>
    </row>
    <row r="48" spans="1:16" ht="45" customHeight="1" x14ac:dyDescent="0.3">
      <c r="A48" s="6" t="s">
        <v>158</v>
      </c>
      <c r="B48" s="7" t="s">
        <v>73</v>
      </c>
      <c r="C48" s="7" t="s">
        <v>23</v>
      </c>
      <c r="D48" s="7" t="s">
        <v>24</v>
      </c>
      <c r="E48" s="7" t="s">
        <v>25</v>
      </c>
      <c r="F48" s="7" t="s">
        <v>102</v>
      </c>
      <c r="G48" s="7" t="s">
        <v>159</v>
      </c>
      <c r="H48" s="7" t="s">
        <v>76</v>
      </c>
      <c r="I48" s="8">
        <v>16</v>
      </c>
      <c r="J48" s="8">
        <v>2</v>
      </c>
      <c r="K48" s="8">
        <v>0</v>
      </c>
      <c r="L48" s="8">
        <v>0</v>
      </c>
      <c r="M48" s="8">
        <v>0</v>
      </c>
      <c r="N48" s="9">
        <f t="shared" si="1"/>
        <v>18</v>
      </c>
      <c r="O48" s="8">
        <v>12</v>
      </c>
      <c r="P48" s="8">
        <v>6</v>
      </c>
    </row>
    <row r="49" spans="1:16" ht="45" customHeight="1" x14ac:dyDescent="0.3">
      <c r="A49" s="10" t="s">
        <v>160</v>
      </c>
      <c r="B49" s="11" t="s">
        <v>73</v>
      </c>
      <c r="C49" s="11" t="s">
        <v>161</v>
      </c>
      <c r="D49" s="11" t="s">
        <v>33</v>
      </c>
      <c r="E49" s="11" t="s">
        <v>162</v>
      </c>
      <c r="F49" s="11" t="s">
        <v>163</v>
      </c>
      <c r="G49" s="11" t="s">
        <v>164</v>
      </c>
      <c r="H49" s="11" t="s">
        <v>165</v>
      </c>
      <c r="I49" s="12">
        <v>8</v>
      </c>
      <c r="J49" s="12">
        <v>2</v>
      </c>
      <c r="K49" s="12">
        <v>0</v>
      </c>
      <c r="L49" s="12">
        <v>0</v>
      </c>
      <c r="M49" s="12">
        <v>0</v>
      </c>
      <c r="N49" s="9">
        <f t="shared" si="1"/>
        <v>10</v>
      </c>
      <c r="O49" s="12">
        <v>8</v>
      </c>
      <c r="P49" s="12">
        <v>2</v>
      </c>
    </row>
    <row r="50" spans="1:16" ht="45" customHeight="1" x14ac:dyDescent="0.3">
      <c r="A50" s="6" t="s">
        <v>166</v>
      </c>
      <c r="B50" s="7" t="s">
        <v>73</v>
      </c>
      <c r="C50" s="7" t="s">
        <v>23</v>
      </c>
      <c r="D50" s="7" t="s">
        <v>24</v>
      </c>
      <c r="E50" s="7" t="s">
        <v>25</v>
      </c>
      <c r="F50" s="7" t="s">
        <v>116</v>
      </c>
      <c r="G50" s="7" t="s">
        <v>75</v>
      </c>
      <c r="H50" s="7" t="s">
        <v>120</v>
      </c>
      <c r="I50" s="8">
        <v>9</v>
      </c>
      <c r="J50" s="8">
        <v>1</v>
      </c>
      <c r="K50" s="8">
        <v>0</v>
      </c>
      <c r="L50" s="8">
        <v>0</v>
      </c>
      <c r="M50" s="8">
        <v>0</v>
      </c>
      <c r="N50" s="9">
        <f t="shared" si="1"/>
        <v>10</v>
      </c>
      <c r="O50" s="8">
        <v>10</v>
      </c>
      <c r="P50" s="8">
        <v>0</v>
      </c>
    </row>
    <row r="51" spans="1:16" ht="45" customHeight="1" x14ac:dyDescent="0.3">
      <c r="A51" s="10" t="s">
        <v>167</v>
      </c>
      <c r="B51" s="11" t="s">
        <v>73</v>
      </c>
      <c r="C51" s="11" t="s">
        <v>23</v>
      </c>
      <c r="D51" s="11" t="s">
        <v>24</v>
      </c>
      <c r="E51" s="11" t="s">
        <v>25</v>
      </c>
      <c r="F51" s="11" t="s">
        <v>116</v>
      </c>
      <c r="G51" s="11" t="s">
        <v>75</v>
      </c>
      <c r="H51" s="11" t="s">
        <v>76</v>
      </c>
      <c r="I51" s="12">
        <v>10</v>
      </c>
      <c r="J51" s="12">
        <v>0</v>
      </c>
      <c r="K51" s="12">
        <v>0</v>
      </c>
      <c r="L51" s="12">
        <v>0</v>
      </c>
      <c r="M51" s="12">
        <v>0</v>
      </c>
      <c r="N51" s="9">
        <f t="shared" si="1"/>
        <v>10</v>
      </c>
      <c r="O51" s="12">
        <v>9</v>
      </c>
      <c r="P51" s="12">
        <v>1</v>
      </c>
    </row>
    <row r="52" spans="1:16" ht="70" customHeight="1" x14ac:dyDescent="0.3">
      <c r="A52" s="6" t="s">
        <v>168</v>
      </c>
      <c r="B52" s="7" t="s">
        <v>73</v>
      </c>
      <c r="C52" s="7" t="s">
        <v>23</v>
      </c>
      <c r="D52" s="7" t="s">
        <v>24</v>
      </c>
      <c r="E52" s="7" t="s">
        <v>25</v>
      </c>
      <c r="F52" s="7" t="s">
        <v>169</v>
      </c>
      <c r="G52" s="7" t="s">
        <v>75</v>
      </c>
      <c r="H52" s="7" t="s">
        <v>170</v>
      </c>
      <c r="I52" s="8">
        <v>8</v>
      </c>
      <c r="J52" s="8">
        <v>5</v>
      </c>
      <c r="K52" s="8">
        <v>0</v>
      </c>
      <c r="L52" s="8">
        <v>0</v>
      </c>
      <c r="M52" s="8">
        <v>0</v>
      </c>
      <c r="N52" s="9">
        <f t="shared" si="1"/>
        <v>13</v>
      </c>
      <c r="O52" s="8">
        <v>12</v>
      </c>
      <c r="P52" s="8">
        <v>1</v>
      </c>
    </row>
    <row r="53" spans="1:16" ht="45" customHeight="1" x14ac:dyDescent="0.3">
      <c r="A53" s="10" t="s">
        <v>171</v>
      </c>
      <c r="B53" s="11" t="s">
        <v>73</v>
      </c>
      <c r="C53" s="11" t="s">
        <v>23</v>
      </c>
      <c r="D53" s="11" t="s">
        <v>24</v>
      </c>
      <c r="E53" s="11" t="s">
        <v>25</v>
      </c>
      <c r="F53" s="11" t="s">
        <v>116</v>
      </c>
      <c r="G53" s="11" t="s">
        <v>75</v>
      </c>
      <c r="H53" s="11" t="s">
        <v>120</v>
      </c>
      <c r="I53" s="12">
        <v>8</v>
      </c>
      <c r="J53" s="12">
        <v>0</v>
      </c>
      <c r="K53" s="12">
        <v>0</v>
      </c>
      <c r="L53" s="12">
        <v>0</v>
      </c>
      <c r="M53" s="12">
        <v>0</v>
      </c>
      <c r="N53" s="9">
        <f t="shared" si="1"/>
        <v>8</v>
      </c>
      <c r="O53" s="12">
        <v>5</v>
      </c>
      <c r="P53" s="12">
        <v>3</v>
      </c>
    </row>
    <row r="54" spans="1:16" ht="55" customHeight="1" x14ac:dyDescent="0.3">
      <c r="A54" s="6" t="s">
        <v>172</v>
      </c>
      <c r="B54" s="7" t="s">
        <v>73</v>
      </c>
      <c r="C54" s="7" t="s">
        <v>23</v>
      </c>
      <c r="D54" s="7" t="s">
        <v>24</v>
      </c>
      <c r="E54" s="7" t="s">
        <v>25</v>
      </c>
      <c r="F54" s="7" t="s">
        <v>116</v>
      </c>
      <c r="G54" s="7" t="s">
        <v>328</v>
      </c>
      <c r="H54" s="7" t="s">
        <v>173</v>
      </c>
      <c r="I54" s="8">
        <v>5</v>
      </c>
      <c r="J54" s="8">
        <v>1</v>
      </c>
      <c r="K54" s="8">
        <v>0</v>
      </c>
      <c r="L54" s="8">
        <v>1</v>
      </c>
      <c r="M54" s="8">
        <v>0</v>
      </c>
      <c r="N54" s="9">
        <f t="shared" si="1"/>
        <v>7</v>
      </c>
      <c r="O54" s="8">
        <v>5</v>
      </c>
      <c r="P54" s="8">
        <v>2</v>
      </c>
    </row>
    <row r="55" spans="1:16" ht="45" customHeight="1" x14ac:dyDescent="0.3">
      <c r="A55" s="10" t="s">
        <v>174</v>
      </c>
      <c r="B55" s="11" t="s">
        <v>73</v>
      </c>
      <c r="C55" s="11" t="s">
        <v>23</v>
      </c>
      <c r="D55" s="11" t="s">
        <v>24</v>
      </c>
      <c r="E55" s="11" t="s">
        <v>25</v>
      </c>
      <c r="F55" s="11" t="s">
        <v>102</v>
      </c>
      <c r="G55" s="11" t="s">
        <v>328</v>
      </c>
      <c r="H55" s="11" t="s">
        <v>175</v>
      </c>
      <c r="I55" s="12">
        <v>5</v>
      </c>
      <c r="J55" s="12">
        <v>1</v>
      </c>
      <c r="K55" s="12">
        <v>0</v>
      </c>
      <c r="L55" s="12">
        <v>0</v>
      </c>
      <c r="M55" s="12">
        <v>0</v>
      </c>
      <c r="N55" s="9">
        <f t="shared" si="1"/>
        <v>6</v>
      </c>
      <c r="O55" s="12">
        <v>5</v>
      </c>
      <c r="P55" s="12">
        <v>1</v>
      </c>
    </row>
    <row r="56" spans="1:16" ht="45" customHeight="1" x14ac:dyDescent="0.3">
      <c r="A56" s="6" t="s">
        <v>176</v>
      </c>
      <c r="B56" s="7" t="s">
        <v>73</v>
      </c>
      <c r="C56" s="7" t="s">
        <v>23</v>
      </c>
      <c r="D56" s="7" t="s">
        <v>24</v>
      </c>
      <c r="E56" s="7" t="s">
        <v>25</v>
      </c>
      <c r="F56" s="7" t="s">
        <v>177</v>
      </c>
      <c r="G56" s="7" t="s">
        <v>75</v>
      </c>
      <c r="H56" s="7" t="s">
        <v>178</v>
      </c>
      <c r="I56" s="8">
        <v>9</v>
      </c>
      <c r="J56" s="8">
        <v>1</v>
      </c>
      <c r="K56" s="8">
        <v>0</v>
      </c>
      <c r="L56" s="8">
        <v>0</v>
      </c>
      <c r="M56" s="8">
        <v>0</v>
      </c>
      <c r="N56" s="9">
        <f t="shared" si="1"/>
        <v>10</v>
      </c>
      <c r="O56" s="8">
        <v>7</v>
      </c>
      <c r="P56" s="8">
        <v>3</v>
      </c>
    </row>
    <row r="57" spans="1:16" ht="70" customHeight="1" x14ac:dyDescent="0.3">
      <c r="A57" s="10" t="s">
        <v>179</v>
      </c>
      <c r="B57" s="11" t="s">
        <v>73</v>
      </c>
      <c r="C57" s="11" t="s">
        <v>23</v>
      </c>
      <c r="D57" s="11" t="s">
        <v>24</v>
      </c>
      <c r="E57" s="11" t="s">
        <v>25</v>
      </c>
      <c r="F57" s="11" t="s">
        <v>105</v>
      </c>
      <c r="G57" s="11" t="s">
        <v>75</v>
      </c>
      <c r="H57" s="11" t="s">
        <v>180</v>
      </c>
      <c r="I57" s="12">
        <v>6</v>
      </c>
      <c r="J57" s="12">
        <v>0</v>
      </c>
      <c r="K57" s="12">
        <v>0</v>
      </c>
      <c r="L57" s="12">
        <v>0</v>
      </c>
      <c r="M57" s="12">
        <v>0</v>
      </c>
      <c r="N57" s="9">
        <f t="shared" si="1"/>
        <v>6</v>
      </c>
      <c r="O57" s="12">
        <v>6</v>
      </c>
      <c r="P57" s="12">
        <v>0</v>
      </c>
    </row>
    <row r="58" spans="1:16" ht="45" customHeight="1" x14ac:dyDescent="0.3">
      <c r="A58" s="6" t="s">
        <v>181</v>
      </c>
      <c r="B58" s="7" t="s">
        <v>73</v>
      </c>
      <c r="C58" s="7" t="s">
        <v>23</v>
      </c>
      <c r="D58" s="7" t="s">
        <v>24</v>
      </c>
      <c r="E58" s="7" t="s">
        <v>25</v>
      </c>
      <c r="F58" s="7" t="s">
        <v>105</v>
      </c>
      <c r="G58" s="7" t="s">
        <v>75</v>
      </c>
      <c r="H58" s="7" t="s">
        <v>182</v>
      </c>
      <c r="I58" s="8">
        <v>11</v>
      </c>
      <c r="J58" s="8">
        <v>2</v>
      </c>
      <c r="K58" s="8">
        <v>0</v>
      </c>
      <c r="L58" s="8">
        <v>0</v>
      </c>
      <c r="M58" s="8">
        <v>0</v>
      </c>
      <c r="N58" s="9">
        <f t="shared" si="1"/>
        <v>13</v>
      </c>
      <c r="O58" s="8">
        <v>12</v>
      </c>
      <c r="P58" s="8">
        <v>1</v>
      </c>
    </row>
    <row r="59" spans="1:16" ht="45" customHeight="1" x14ac:dyDescent="0.3">
      <c r="A59" s="10" t="s">
        <v>183</v>
      </c>
      <c r="B59" s="11" t="s">
        <v>73</v>
      </c>
      <c r="C59" s="11" t="s">
        <v>23</v>
      </c>
      <c r="D59" s="11" t="s">
        <v>24</v>
      </c>
      <c r="E59" s="11" t="s">
        <v>25</v>
      </c>
      <c r="F59" s="11" t="s">
        <v>177</v>
      </c>
      <c r="G59" s="11" t="s">
        <v>75</v>
      </c>
      <c r="H59" s="11" t="s">
        <v>184</v>
      </c>
      <c r="I59" s="12">
        <v>5</v>
      </c>
      <c r="J59" s="12">
        <v>0</v>
      </c>
      <c r="K59" s="12">
        <v>0</v>
      </c>
      <c r="L59" s="12">
        <v>0</v>
      </c>
      <c r="M59" s="12">
        <v>0</v>
      </c>
      <c r="N59" s="9">
        <f t="shared" si="1"/>
        <v>5</v>
      </c>
      <c r="O59" s="12">
        <v>3</v>
      </c>
      <c r="P59" s="12">
        <v>2</v>
      </c>
    </row>
    <row r="60" spans="1:16" ht="55" customHeight="1" x14ac:dyDescent="0.3">
      <c r="A60" s="6" t="s">
        <v>185</v>
      </c>
      <c r="B60" s="7" t="s">
        <v>73</v>
      </c>
      <c r="C60" s="7" t="s">
        <v>23</v>
      </c>
      <c r="D60" s="7" t="s">
        <v>24</v>
      </c>
      <c r="E60" s="7" t="s">
        <v>25</v>
      </c>
      <c r="F60" s="7" t="s">
        <v>105</v>
      </c>
      <c r="G60" s="7" t="s">
        <v>75</v>
      </c>
      <c r="H60" s="7" t="s">
        <v>186</v>
      </c>
      <c r="I60" s="8">
        <v>13</v>
      </c>
      <c r="J60" s="8">
        <v>2</v>
      </c>
      <c r="K60" s="8">
        <v>0</v>
      </c>
      <c r="L60" s="8">
        <v>0</v>
      </c>
      <c r="M60" s="8">
        <v>1</v>
      </c>
      <c r="N60" s="9">
        <f t="shared" si="1"/>
        <v>16</v>
      </c>
      <c r="O60" s="8">
        <v>14</v>
      </c>
      <c r="P60" s="8">
        <v>2</v>
      </c>
    </row>
    <row r="61" spans="1:16" ht="70" customHeight="1" x14ac:dyDescent="0.3">
      <c r="A61" s="10" t="s">
        <v>187</v>
      </c>
      <c r="B61" s="11" t="s">
        <v>73</v>
      </c>
      <c r="C61" s="11" t="s">
        <v>23</v>
      </c>
      <c r="D61" s="11" t="s">
        <v>24</v>
      </c>
      <c r="E61" s="11" t="s">
        <v>25</v>
      </c>
      <c r="F61" s="11" t="s">
        <v>105</v>
      </c>
      <c r="G61" s="11" t="s">
        <v>75</v>
      </c>
      <c r="H61" s="11" t="s">
        <v>188</v>
      </c>
      <c r="I61" s="12">
        <v>14</v>
      </c>
      <c r="J61" s="12">
        <v>2</v>
      </c>
      <c r="K61" s="12">
        <v>0</v>
      </c>
      <c r="L61" s="12">
        <v>0</v>
      </c>
      <c r="M61" s="12">
        <v>0</v>
      </c>
      <c r="N61" s="9">
        <f t="shared" si="1"/>
        <v>16</v>
      </c>
      <c r="O61" s="12">
        <v>13</v>
      </c>
      <c r="P61" s="12">
        <v>3</v>
      </c>
    </row>
    <row r="62" spans="1:16" ht="45" customHeight="1" x14ac:dyDescent="0.3">
      <c r="A62" s="6" t="s">
        <v>189</v>
      </c>
      <c r="B62" s="7" t="s">
        <v>73</v>
      </c>
      <c r="C62" s="7" t="s">
        <v>23</v>
      </c>
      <c r="D62" s="7" t="s">
        <v>24</v>
      </c>
      <c r="E62" s="7" t="s">
        <v>25</v>
      </c>
      <c r="F62" s="7" t="s">
        <v>105</v>
      </c>
      <c r="G62" s="7" t="s">
        <v>75</v>
      </c>
      <c r="H62" s="7" t="s">
        <v>76</v>
      </c>
      <c r="I62" s="8">
        <v>17</v>
      </c>
      <c r="J62" s="8">
        <v>2</v>
      </c>
      <c r="K62" s="8">
        <v>0</v>
      </c>
      <c r="L62" s="8">
        <v>0</v>
      </c>
      <c r="M62" s="8">
        <v>0</v>
      </c>
      <c r="N62" s="9">
        <f t="shared" si="1"/>
        <v>19</v>
      </c>
      <c r="O62" s="8">
        <v>12</v>
      </c>
      <c r="P62" s="8">
        <v>7</v>
      </c>
    </row>
    <row r="63" spans="1:16" ht="45" customHeight="1" x14ac:dyDescent="0.3">
      <c r="A63" s="10" t="s">
        <v>190</v>
      </c>
      <c r="B63" s="11" t="s">
        <v>73</v>
      </c>
      <c r="C63" s="11" t="s">
        <v>23</v>
      </c>
      <c r="D63" s="11" t="s">
        <v>24</v>
      </c>
      <c r="E63" s="11" t="s">
        <v>162</v>
      </c>
      <c r="F63" s="11" t="s">
        <v>163</v>
      </c>
      <c r="G63" s="11" t="s">
        <v>164</v>
      </c>
      <c r="H63" s="11" t="s">
        <v>191</v>
      </c>
      <c r="I63" s="12">
        <v>3</v>
      </c>
      <c r="J63" s="12">
        <v>2</v>
      </c>
      <c r="K63" s="12">
        <v>0</v>
      </c>
      <c r="L63" s="12">
        <v>0</v>
      </c>
      <c r="M63" s="12">
        <v>0</v>
      </c>
      <c r="N63" s="9">
        <f t="shared" si="1"/>
        <v>5</v>
      </c>
      <c r="O63" s="12">
        <v>4</v>
      </c>
      <c r="P63" s="12">
        <v>1</v>
      </c>
    </row>
    <row r="64" spans="1:16" ht="70" customHeight="1" x14ac:dyDescent="0.3">
      <c r="A64" s="6" t="s">
        <v>192</v>
      </c>
      <c r="B64" s="7" t="s">
        <v>73</v>
      </c>
      <c r="C64" s="7" t="s">
        <v>23</v>
      </c>
      <c r="D64" s="7" t="s">
        <v>24</v>
      </c>
      <c r="E64" s="7" t="s">
        <v>25</v>
      </c>
      <c r="F64" s="7" t="s">
        <v>193</v>
      </c>
      <c r="G64" s="7" t="s">
        <v>75</v>
      </c>
      <c r="H64" s="7" t="s">
        <v>194</v>
      </c>
      <c r="I64" s="8">
        <v>20</v>
      </c>
      <c r="J64" s="8">
        <v>1</v>
      </c>
      <c r="K64" s="8">
        <v>0</v>
      </c>
      <c r="L64" s="8">
        <v>0</v>
      </c>
      <c r="M64" s="8">
        <v>0</v>
      </c>
      <c r="N64" s="9">
        <f t="shared" si="1"/>
        <v>21</v>
      </c>
      <c r="O64" s="8">
        <v>13</v>
      </c>
      <c r="P64" s="8">
        <v>8</v>
      </c>
    </row>
    <row r="65" spans="1:16" ht="70" customHeight="1" x14ac:dyDescent="0.3">
      <c r="A65" s="10" t="s">
        <v>195</v>
      </c>
      <c r="B65" s="11" t="s">
        <v>73</v>
      </c>
      <c r="C65" s="11" t="s">
        <v>23</v>
      </c>
      <c r="D65" s="11" t="s">
        <v>33</v>
      </c>
      <c r="E65" s="11" t="s">
        <v>137</v>
      </c>
      <c r="F65" s="11" t="s">
        <v>196</v>
      </c>
      <c r="G65" s="11" t="s">
        <v>75</v>
      </c>
      <c r="H65" s="11" t="s">
        <v>197</v>
      </c>
      <c r="I65" s="12">
        <v>0</v>
      </c>
      <c r="J65" s="12">
        <v>1</v>
      </c>
      <c r="K65" s="12">
        <v>0</v>
      </c>
      <c r="L65" s="12">
        <v>1</v>
      </c>
      <c r="M65" s="12">
        <v>0</v>
      </c>
      <c r="N65" s="9">
        <f t="shared" si="1"/>
        <v>2</v>
      </c>
      <c r="O65" s="12">
        <v>0</v>
      </c>
      <c r="P65" s="12">
        <v>2</v>
      </c>
    </row>
    <row r="66" spans="1:16" ht="130" customHeight="1" x14ac:dyDescent="0.3">
      <c r="A66" s="6" t="s">
        <v>198</v>
      </c>
      <c r="B66" s="7" t="s">
        <v>73</v>
      </c>
      <c r="C66" s="7" t="s">
        <v>23</v>
      </c>
      <c r="D66" s="7" t="s">
        <v>24</v>
      </c>
      <c r="E66" s="7" t="s">
        <v>25</v>
      </c>
      <c r="F66" s="7" t="s">
        <v>133</v>
      </c>
      <c r="G66" s="7" t="s">
        <v>75</v>
      </c>
      <c r="H66" s="7" t="s">
        <v>199</v>
      </c>
      <c r="I66" s="8">
        <v>8</v>
      </c>
      <c r="J66" s="8">
        <v>0</v>
      </c>
      <c r="K66" s="8">
        <v>0</v>
      </c>
      <c r="L66" s="8">
        <v>4</v>
      </c>
      <c r="M66" s="8">
        <v>0</v>
      </c>
      <c r="N66" s="9">
        <f t="shared" ref="N66:N97" si="2">SUM(I66:M66)</f>
        <v>12</v>
      </c>
      <c r="O66" s="8">
        <v>9</v>
      </c>
      <c r="P66" s="8">
        <v>3</v>
      </c>
    </row>
    <row r="67" spans="1:16" ht="45" customHeight="1" x14ac:dyDescent="0.3">
      <c r="A67" s="10" t="s">
        <v>200</v>
      </c>
      <c r="B67" s="11" t="s">
        <v>73</v>
      </c>
      <c r="C67" s="11" t="s">
        <v>23</v>
      </c>
      <c r="D67" s="11" t="s">
        <v>33</v>
      </c>
      <c r="E67" s="11" t="s">
        <v>25</v>
      </c>
      <c r="F67" s="11" t="s">
        <v>91</v>
      </c>
      <c r="G67" s="11" t="s">
        <v>92</v>
      </c>
      <c r="H67" s="11" t="s">
        <v>93</v>
      </c>
      <c r="I67" s="12">
        <v>1</v>
      </c>
      <c r="J67" s="12">
        <v>0</v>
      </c>
      <c r="K67" s="12">
        <v>2</v>
      </c>
      <c r="L67" s="12">
        <v>1</v>
      </c>
      <c r="M67" s="12">
        <v>0</v>
      </c>
      <c r="N67" s="9">
        <f t="shared" si="2"/>
        <v>4</v>
      </c>
      <c r="O67" s="12">
        <v>0</v>
      </c>
      <c r="P67" s="12">
        <v>4</v>
      </c>
    </row>
    <row r="68" spans="1:16" ht="45" customHeight="1" x14ac:dyDescent="0.3">
      <c r="A68" s="6" t="s">
        <v>201</v>
      </c>
      <c r="B68" s="7" t="s">
        <v>73</v>
      </c>
      <c r="C68" s="7" t="s">
        <v>23</v>
      </c>
      <c r="D68" s="7" t="s">
        <v>33</v>
      </c>
      <c r="E68" s="7" t="s">
        <v>25</v>
      </c>
      <c r="F68" s="7" t="s">
        <v>91</v>
      </c>
      <c r="G68" s="7" t="s">
        <v>92</v>
      </c>
      <c r="H68" s="7" t="s">
        <v>93</v>
      </c>
      <c r="I68" s="8">
        <v>1</v>
      </c>
      <c r="J68" s="8">
        <v>0</v>
      </c>
      <c r="K68" s="8">
        <v>2</v>
      </c>
      <c r="L68" s="8">
        <v>1</v>
      </c>
      <c r="M68" s="8">
        <v>0</v>
      </c>
      <c r="N68" s="9">
        <f t="shared" si="2"/>
        <v>4</v>
      </c>
      <c r="O68" s="8">
        <v>0</v>
      </c>
      <c r="P68" s="8">
        <v>4</v>
      </c>
    </row>
    <row r="69" spans="1:16" ht="100" customHeight="1" x14ac:dyDescent="0.3">
      <c r="A69" s="10" t="s">
        <v>202</v>
      </c>
      <c r="B69" s="11" t="s">
        <v>73</v>
      </c>
      <c r="C69" s="11" t="s">
        <v>23</v>
      </c>
      <c r="D69" s="11" t="s">
        <v>24</v>
      </c>
      <c r="E69" s="11" t="s">
        <v>37</v>
      </c>
      <c r="F69" s="11" t="s">
        <v>42</v>
      </c>
      <c r="G69" s="11" t="s">
        <v>148</v>
      </c>
      <c r="H69" s="11" t="s">
        <v>203</v>
      </c>
      <c r="I69" s="12">
        <v>13</v>
      </c>
      <c r="J69" s="12">
        <v>0</v>
      </c>
      <c r="K69" s="12">
        <v>0</v>
      </c>
      <c r="L69" s="12">
        <v>0</v>
      </c>
      <c r="M69" s="12">
        <v>0</v>
      </c>
      <c r="N69" s="9">
        <f t="shared" si="2"/>
        <v>13</v>
      </c>
      <c r="O69" s="12">
        <v>7</v>
      </c>
      <c r="P69" s="12">
        <v>6</v>
      </c>
    </row>
    <row r="70" spans="1:16" ht="45" customHeight="1" x14ac:dyDescent="0.3">
      <c r="A70" s="6" t="s">
        <v>204</v>
      </c>
      <c r="B70" s="7" t="s">
        <v>73</v>
      </c>
      <c r="C70" s="7" t="s">
        <v>23</v>
      </c>
      <c r="D70" s="7" t="s">
        <v>24</v>
      </c>
      <c r="E70" s="7" t="s">
        <v>29</v>
      </c>
      <c r="F70" s="7" t="s">
        <v>205</v>
      </c>
      <c r="G70" s="7" t="s">
        <v>206</v>
      </c>
      <c r="H70" s="7" t="s">
        <v>207</v>
      </c>
      <c r="I70" s="8">
        <v>11</v>
      </c>
      <c r="J70" s="8">
        <v>0</v>
      </c>
      <c r="K70" s="8">
        <v>0</v>
      </c>
      <c r="L70" s="8">
        <v>3</v>
      </c>
      <c r="M70" s="8">
        <v>0</v>
      </c>
      <c r="N70" s="9">
        <f t="shared" si="2"/>
        <v>14</v>
      </c>
      <c r="O70" s="8">
        <v>10</v>
      </c>
      <c r="P70" s="8">
        <v>4</v>
      </c>
    </row>
    <row r="71" spans="1:16" ht="45" customHeight="1" x14ac:dyDescent="0.3">
      <c r="A71" s="10" t="s">
        <v>208</v>
      </c>
      <c r="B71" s="11" t="s">
        <v>73</v>
      </c>
      <c r="C71" s="11" t="s">
        <v>23</v>
      </c>
      <c r="D71" s="11" t="s">
        <v>24</v>
      </c>
      <c r="E71" s="11" t="s">
        <v>25</v>
      </c>
      <c r="F71" s="11" t="s">
        <v>74</v>
      </c>
      <c r="G71" s="11" t="s">
        <v>97</v>
      </c>
      <c r="H71" s="11" t="s">
        <v>76</v>
      </c>
      <c r="I71" s="12">
        <v>6</v>
      </c>
      <c r="J71" s="12">
        <v>2</v>
      </c>
      <c r="K71" s="12">
        <v>0</v>
      </c>
      <c r="L71" s="12">
        <v>2</v>
      </c>
      <c r="M71" s="12">
        <v>0</v>
      </c>
      <c r="N71" s="9">
        <f t="shared" si="2"/>
        <v>10</v>
      </c>
      <c r="O71" s="12">
        <v>8</v>
      </c>
      <c r="P71" s="12">
        <v>2</v>
      </c>
    </row>
    <row r="72" spans="1:16" ht="130" customHeight="1" x14ac:dyDescent="0.3">
      <c r="A72" s="6" t="s">
        <v>209</v>
      </c>
      <c r="B72" s="7" t="s">
        <v>73</v>
      </c>
      <c r="C72" s="7" t="s">
        <v>23</v>
      </c>
      <c r="D72" s="7" t="s">
        <v>24</v>
      </c>
      <c r="E72" s="7" t="s">
        <v>37</v>
      </c>
      <c r="F72" s="7" t="s">
        <v>42</v>
      </c>
      <c r="G72" s="7" t="s">
        <v>329</v>
      </c>
      <c r="H72" s="7" t="s">
        <v>210</v>
      </c>
      <c r="I72" s="8">
        <v>10</v>
      </c>
      <c r="J72" s="8">
        <v>0</v>
      </c>
      <c r="K72" s="8">
        <v>0</v>
      </c>
      <c r="L72" s="8">
        <v>0</v>
      </c>
      <c r="M72" s="8">
        <v>0</v>
      </c>
      <c r="N72" s="9">
        <f t="shared" si="2"/>
        <v>10</v>
      </c>
      <c r="O72" s="8">
        <v>10</v>
      </c>
      <c r="P72" s="8">
        <v>0</v>
      </c>
    </row>
    <row r="73" spans="1:16" ht="100" customHeight="1" x14ac:dyDescent="0.3">
      <c r="A73" s="10" t="s">
        <v>211</v>
      </c>
      <c r="B73" s="11" t="s">
        <v>73</v>
      </c>
      <c r="C73" s="11" t="s">
        <v>23</v>
      </c>
      <c r="D73" s="11" t="s">
        <v>33</v>
      </c>
      <c r="E73" s="11" t="s">
        <v>29</v>
      </c>
      <c r="F73" s="11" t="s">
        <v>205</v>
      </c>
      <c r="G73" s="11" t="s">
        <v>330</v>
      </c>
      <c r="H73" s="11" t="s">
        <v>212</v>
      </c>
      <c r="I73" s="12">
        <v>10</v>
      </c>
      <c r="J73" s="12">
        <v>1</v>
      </c>
      <c r="K73" s="12">
        <v>0</v>
      </c>
      <c r="L73" s="12">
        <v>1</v>
      </c>
      <c r="M73" s="12">
        <v>0</v>
      </c>
      <c r="N73" s="9">
        <f t="shared" si="2"/>
        <v>12</v>
      </c>
      <c r="O73" s="12">
        <v>8</v>
      </c>
      <c r="P73" s="12">
        <v>4</v>
      </c>
    </row>
    <row r="74" spans="1:16" ht="85" customHeight="1" x14ac:dyDescent="0.3">
      <c r="A74" s="6" t="s">
        <v>213</v>
      </c>
      <c r="B74" s="7" t="s">
        <v>73</v>
      </c>
      <c r="C74" s="7" t="s">
        <v>23</v>
      </c>
      <c r="D74" s="7" t="s">
        <v>24</v>
      </c>
      <c r="E74" s="7" t="s">
        <v>37</v>
      </c>
      <c r="F74" s="7" t="s">
        <v>42</v>
      </c>
      <c r="G74" s="7" t="s">
        <v>214</v>
      </c>
      <c r="H74" s="7" t="s">
        <v>215</v>
      </c>
      <c r="I74" s="8">
        <v>20</v>
      </c>
      <c r="J74" s="8">
        <v>0</v>
      </c>
      <c r="K74" s="8">
        <v>0</v>
      </c>
      <c r="L74" s="8">
        <v>0</v>
      </c>
      <c r="M74" s="8">
        <v>0</v>
      </c>
      <c r="N74" s="9">
        <f t="shared" si="2"/>
        <v>20</v>
      </c>
      <c r="O74" s="8">
        <v>19</v>
      </c>
      <c r="P74" s="8">
        <v>1</v>
      </c>
    </row>
    <row r="75" spans="1:16" ht="45" customHeight="1" x14ac:dyDescent="0.3">
      <c r="A75" s="10" t="s">
        <v>216</v>
      </c>
      <c r="B75" s="11" t="s">
        <v>73</v>
      </c>
      <c r="C75" s="11" t="s">
        <v>23</v>
      </c>
      <c r="D75" s="11" t="s">
        <v>24</v>
      </c>
      <c r="E75" s="11" t="s">
        <v>25</v>
      </c>
      <c r="F75" s="11" t="s">
        <v>105</v>
      </c>
      <c r="G75" s="11" t="s">
        <v>75</v>
      </c>
      <c r="H75" s="11" t="s">
        <v>217</v>
      </c>
      <c r="I75" s="12">
        <v>9</v>
      </c>
      <c r="J75" s="12">
        <v>1</v>
      </c>
      <c r="K75" s="12">
        <v>0</v>
      </c>
      <c r="L75" s="12">
        <v>0</v>
      </c>
      <c r="M75" s="12">
        <v>1</v>
      </c>
      <c r="N75" s="9">
        <f t="shared" si="2"/>
        <v>11</v>
      </c>
      <c r="O75" s="12">
        <v>9</v>
      </c>
      <c r="P75" s="12">
        <v>2</v>
      </c>
    </row>
    <row r="76" spans="1:16" ht="45" customHeight="1" x14ac:dyDescent="0.3">
      <c r="A76" s="6" t="s">
        <v>218</v>
      </c>
      <c r="B76" s="7" t="s">
        <v>73</v>
      </c>
      <c r="C76" s="7" t="s">
        <v>23</v>
      </c>
      <c r="D76" s="7" t="s">
        <v>24</v>
      </c>
      <c r="E76" s="7" t="s">
        <v>29</v>
      </c>
      <c r="F76" s="7" t="s">
        <v>205</v>
      </c>
      <c r="G76" s="7" t="s">
        <v>219</v>
      </c>
      <c r="H76" s="7" t="s">
        <v>220</v>
      </c>
      <c r="I76" s="8">
        <v>9</v>
      </c>
      <c r="J76" s="8">
        <v>1</v>
      </c>
      <c r="K76" s="8">
        <v>0</v>
      </c>
      <c r="L76" s="8">
        <v>0</v>
      </c>
      <c r="M76" s="8">
        <v>0</v>
      </c>
      <c r="N76" s="9">
        <f t="shared" si="2"/>
        <v>10</v>
      </c>
      <c r="O76" s="8">
        <v>6</v>
      </c>
      <c r="P76" s="8">
        <v>4</v>
      </c>
    </row>
    <row r="77" spans="1:16" ht="70" customHeight="1" x14ac:dyDescent="0.3">
      <c r="A77" s="10" t="s">
        <v>221</v>
      </c>
      <c r="B77" s="11" t="s">
        <v>73</v>
      </c>
      <c r="C77" s="11" t="s">
        <v>23</v>
      </c>
      <c r="D77" s="11" t="s">
        <v>24</v>
      </c>
      <c r="E77" s="11" t="s">
        <v>95</v>
      </c>
      <c r="F77" s="11" t="s">
        <v>222</v>
      </c>
      <c r="G77" s="11" t="s">
        <v>328</v>
      </c>
      <c r="H77" s="11" t="s">
        <v>223</v>
      </c>
      <c r="I77" s="12">
        <v>1</v>
      </c>
      <c r="J77" s="12">
        <v>4</v>
      </c>
      <c r="K77" s="12">
        <v>0</v>
      </c>
      <c r="L77" s="12">
        <v>0</v>
      </c>
      <c r="M77" s="12">
        <v>1</v>
      </c>
      <c r="N77" s="9">
        <f t="shared" si="2"/>
        <v>6</v>
      </c>
      <c r="O77" s="12">
        <v>5</v>
      </c>
      <c r="P77" s="12">
        <v>1</v>
      </c>
    </row>
    <row r="78" spans="1:16" ht="70" customHeight="1" x14ac:dyDescent="0.3">
      <c r="A78" s="6" t="s">
        <v>224</v>
      </c>
      <c r="B78" s="7" t="s">
        <v>73</v>
      </c>
      <c r="C78" s="7" t="s">
        <v>23</v>
      </c>
      <c r="D78" s="7" t="s">
        <v>24</v>
      </c>
      <c r="E78" s="7" t="s">
        <v>37</v>
      </c>
      <c r="F78" s="7" t="s">
        <v>42</v>
      </c>
      <c r="G78" s="7" t="s">
        <v>148</v>
      </c>
      <c r="H78" s="7" t="s">
        <v>225</v>
      </c>
      <c r="I78" s="8">
        <v>10</v>
      </c>
      <c r="J78" s="8">
        <v>0</v>
      </c>
      <c r="K78" s="8">
        <v>0</v>
      </c>
      <c r="L78" s="8">
        <v>0</v>
      </c>
      <c r="M78" s="8">
        <v>0</v>
      </c>
      <c r="N78" s="9">
        <f t="shared" si="2"/>
        <v>10</v>
      </c>
      <c r="O78" s="8">
        <v>10</v>
      </c>
      <c r="P78" s="8">
        <v>0</v>
      </c>
    </row>
    <row r="79" spans="1:16" ht="45" customHeight="1" x14ac:dyDescent="0.3">
      <c r="A79" s="10" t="s">
        <v>226</v>
      </c>
      <c r="B79" s="11" t="s">
        <v>73</v>
      </c>
      <c r="C79" s="11" t="s">
        <v>23</v>
      </c>
      <c r="D79" s="11" t="s">
        <v>24</v>
      </c>
      <c r="E79" s="11" t="s">
        <v>25</v>
      </c>
      <c r="F79" s="11" t="s">
        <v>133</v>
      </c>
      <c r="G79" s="11" t="s">
        <v>75</v>
      </c>
      <c r="H79" s="11" t="s">
        <v>76</v>
      </c>
      <c r="I79" s="12">
        <v>11</v>
      </c>
      <c r="J79" s="12">
        <v>1</v>
      </c>
      <c r="K79" s="12">
        <v>0</v>
      </c>
      <c r="L79" s="12">
        <v>0</v>
      </c>
      <c r="M79" s="12">
        <v>0</v>
      </c>
      <c r="N79" s="9">
        <f t="shared" si="2"/>
        <v>12</v>
      </c>
      <c r="O79" s="12">
        <v>12</v>
      </c>
      <c r="P79" s="12">
        <v>0</v>
      </c>
    </row>
    <row r="80" spans="1:16" ht="100" customHeight="1" x14ac:dyDescent="0.3">
      <c r="A80" s="6" t="s">
        <v>227</v>
      </c>
      <c r="B80" s="7" t="s">
        <v>73</v>
      </c>
      <c r="C80" s="7" t="s">
        <v>23</v>
      </c>
      <c r="D80" s="7" t="s">
        <v>33</v>
      </c>
      <c r="E80" s="7" t="s">
        <v>37</v>
      </c>
      <c r="F80" s="7" t="s">
        <v>86</v>
      </c>
      <c r="G80" s="7" t="s">
        <v>228</v>
      </c>
      <c r="H80" s="7" t="s">
        <v>229</v>
      </c>
      <c r="I80" s="8">
        <v>12</v>
      </c>
      <c r="J80" s="8">
        <v>0</v>
      </c>
      <c r="K80" s="8">
        <v>0</v>
      </c>
      <c r="L80" s="8">
        <v>0</v>
      </c>
      <c r="M80" s="8">
        <v>0</v>
      </c>
      <c r="N80" s="9">
        <f t="shared" si="2"/>
        <v>12</v>
      </c>
      <c r="O80" s="8">
        <v>9</v>
      </c>
      <c r="P80" s="8">
        <v>3</v>
      </c>
    </row>
    <row r="81" spans="1:16" ht="70" customHeight="1" x14ac:dyDescent="0.3">
      <c r="A81" s="10" t="s">
        <v>230</v>
      </c>
      <c r="B81" s="11" t="s">
        <v>73</v>
      </c>
      <c r="C81" s="11" t="s">
        <v>23</v>
      </c>
      <c r="D81" s="11" t="s">
        <v>24</v>
      </c>
      <c r="E81" s="11" t="s">
        <v>37</v>
      </c>
      <c r="F81" s="11" t="s">
        <v>38</v>
      </c>
      <c r="G81" s="11" t="s">
        <v>127</v>
      </c>
      <c r="H81" s="11" t="s">
        <v>231</v>
      </c>
      <c r="I81" s="12">
        <v>12</v>
      </c>
      <c r="J81" s="12">
        <v>0</v>
      </c>
      <c r="K81" s="12">
        <v>1</v>
      </c>
      <c r="L81" s="12">
        <v>0</v>
      </c>
      <c r="M81" s="12">
        <v>0</v>
      </c>
      <c r="N81" s="9">
        <f t="shared" si="2"/>
        <v>13</v>
      </c>
      <c r="O81" s="12">
        <v>10</v>
      </c>
      <c r="P81" s="12">
        <v>3</v>
      </c>
    </row>
    <row r="82" spans="1:16" ht="130" customHeight="1" x14ac:dyDescent="0.3">
      <c r="A82" s="6" t="s">
        <v>232</v>
      </c>
      <c r="B82" s="7" t="s">
        <v>233</v>
      </c>
      <c r="C82" s="7" t="s">
        <v>23</v>
      </c>
      <c r="D82" s="7" t="s">
        <v>24</v>
      </c>
      <c r="E82" s="7" t="s">
        <v>29</v>
      </c>
      <c r="F82" s="7" t="s">
        <v>78</v>
      </c>
      <c r="G82" s="7" t="s">
        <v>234</v>
      </c>
      <c r="H82" s="7" t="s">
        <v>235</v>
      </c>
      <c r="I82" s="8">
        <v>1</v>
      </c>
      <c r="J82" s="8">
        <v>1</v>
      </c>
      <c r="K82" s="8">
        <v>4</v>
      </c>
      <c r="L82" s="8">
        <v>0</v>
      </c>
      <c r="M82" s="8">
        <v>0</v>
      </c>
      <c r="N82" s="9">
        <f t="shared" si="2"/>
        <v>6</v>
      </c>
      <c r="O82" s="8">
        <v>6</v>
      </c>
      <c r="P82" s="8">
        <v>0</v>
      </c>
    </row>
    <row r="83" spans="1:16" ht="115" customHeight="1" x14ac:dyDescent="0.3">
      <c r="A83" s="10" t="s">
        <v>236</v>
      </c>
      <c r="B83" s="11" t="s">
        <v>237</v>
      </c>
      <c r="C83" s="11" t="s">
        <v>23</v>
      </c>
      <c r="D83" s="11" t="s">
        <v>24</v>
      </c>
      <c r="E83" s="11" t="s">
        <v>25</v>
      </c>
      <c r="F83" s="11" t="s">
        <v>38</v>
      </c>
      <c r="G83" s="11" t="s">
        <v>331</v>
      </c>
      <c r="H83" s="11" t="s">
        <v>238</v>
      </c>
      <c r="I83" s="12">
        <v>17</v>
      </c>
      <c r="J83" s="12">
        <v>0</v>
      </c>
      <c r="K83" s="12">
        <v>1</v>
      </c>
      <c r="L83" s="12">
        <v>0</v>
      </c>
      <c r="M83" s="12">
        <v>0</v>
      </c>
      <c r="N83" s="9">
        <f t="shared" si="2"/>
        <v>18</v>
      </c>
      <c r="O83" s="12">
        <v>10</v>
      </c>
      <c r="P83" s="12">
        <v>8</v>
      </c>
    </row>
    <row r="84" spans="1:16" ht="45" customHeight="1" x14ac:dyDescent="0.3">
      <c r="A84" s="6" t="s">
        <v>239</v>
      </c>
      <c r="B84" s="7" t="s">
        <v>240</v>
      </c>
      <c r="C84" s="7" t="s">
        <v>23</v>
      </c>
      <c r="D84" s="7" t="s">
        <v>24</v>
      </c>
      <c r="E84" s="7" t="s">
        <v>37</v>
      </c>
      <c r="F84" s="7" t="s">
        <v>38</v>
      </c>
      <c r="G84" s="7" t="s">
        <v>241</v>
      </c>
      <c r="H84" s="7" t="s">
        <v>242</v>
      </c>
      <c r="I84" s="8">
        <v>12</v>
      </c>
      <c r="J84" s="8">
        <v>0</v>
      </c>
      <c r="K84" s="8">
        <v>3</v>
      </c>
      <c r="L84" s="8">
        <v>0</v>
      </c>
      <c r="M84" s="8">
        <v>0</v>
      </c>
      <c r="N84" s="9">
        <f t="shared" si="2"/>
        <v>15</v>
      </c>
      <c r="O84" s="8">
        <v>6</v>
      </c>
      <c r="P84" s="8">
        <v>9</v>
      </c>
    </row>
    <row r="85" spans="1:16" ht="45" customHeight="1" x14ac:dyDescent="0.3">
      <c r="A85" s="10" t="s">
        <v>243</v>
      </c>
      <c r="B85" s="11" t="s">
        <v>240</v>
      </c>
      <c r="C85" s="11" t="s">
        <v>23</v>
      </c>
      <c r="D85" s="11" t="s">
        <v>24</v>
      </c>
      <c r="E85" s="11" t="s">
        <v>37</v>
      </c>
      <c r="F85" s="11" t="s">
        <v>38</v>
      </c>
      <c r="G85" s="11" t="s">
        <v>244</v>
      </c>
      <c r="H85" s="11" t="s">
        <v>245</v>
      </c>
      <c r="I85" s="12">
        <v>16</v>
      </c>
      <c r="J85" s="12">
        <v>0</v>
      </c>
      <c r="K85" s="12">
        <v>2</v>
      </c>
      <c r="L85" s="12">
        <v>0</v>
      </c>
      <c r="M85" s="12">
        <v>0</v>
      </c>
      <c r="N85" s="9">
        <f t="shared" si="2"/>
        <v>18</v>
      </c>
      <c r="O85" s="12">
        <v>7</v>
      </c>
      <c r="P85" s="12">
        <v>11</v>
      </c>
    </row>
    <row r="86" spans="1:16" ht="55" customHeight="1" x14ac:dyDescent="0.3">
      <c r="A86" s="6" t="s">
        <v>246</v>
      </c>
      <c r="B86" s="7" t="s">
        <v>240</v>
      </c>
      <c r="C86" s="7" t="s">
        <v>23</v>
      </c>
      <c r="D86" s="7" t="s">
        <v>24</v>
      </c>
      <c r="E86" s="7" t="s">
        <v>25</v>
      </c>
      <c r="F86" s="7" t="s">
        <v>26</v>
      </c>
      <c r="G86" s="7" t="s">
        <v>247</v>
      </c>
      <c r="H86" s="7" t="s">
        <v>248</v>
      </c>
      <c r="I86" s="8">
        <v>11</v>
      </c>
      <c r="J86" s="8">
        <v>0</v>
      </c>
      <c r="K86" s="8">
        <v>0</v>
      </c>
      <c r="L86" s="8">
        <v>0</v>
      </c>
      <c r="M86" s="8">
        <v>0</v>
      </c>
      <c r="N86" s="9">
        <f t="shared" si="2"/>
        <v>11</v>
      </c>
      <c r="O86" s="8">
        <v>3</v>
      </c>
      <c r="P86" s="8">
        <v>8</v>
      </c>
    </row>
    <row r="87" spans="1:16" ht="55" customHeight="1" x14ac:dyDescent="0.3">
      <c r="A87" s="10" t="s">
        <v>249</v>
      </c>
      <c r="B87" s="11" t="s">
        <v>250</v>
      </c>
      <c r="C87" s="11" t="s">
        <v>23</v>
      </c>
      <c r="D87" s="11" t="s">
        <v>24</v>
      </c>
      <c r="E87" s="11" t="s">
        <v>29</v>
      </c>
      <c r="F87" s="11" t="s">
        <v>251</v>
      </c>
      <c r="G87" s="11" t="s">
        <v>332</v>
      </c>
      <c r="H87" s="11" t="s">
        <v>252</v>
      </c>
      <c r="I87" s="12">
        <v>21</v>
      </c>
      <c r="J87" s="12">
        <v>1</v>
      </c>
      <c r="K87" s="12">
        <v>0</v>
      </c>
      <c r="L87" s="12">
        <v>0</v>
      </c>
      <c r="M87" s="12">
        <v>0</v>
      </c>
      <c r="N87" s="9">
        <f t="shared" si="2"/>
        <v>22</v>
      </c>
      <c r="O87" s="12">
        <v>3</v>
      </c>
      <c r="P87" s="12">
        <v>19</v>
      </c>
    </row>
    <row r="88" spans="1:16" ht="100" customHeight="1" x14ac:dyDescent="0.3">
      <c r="A88" s="6" t="s">
        <v>253</v>
      </c>
      <c r="B88" s="7" t="s">
        <v>250</v>
      </c>
      <c r="C88" s="7" t="s">
        <v>23</v>
      </c>
      <c r="D88" s="7" t="s">
        <v>24</v>
      </c>
      <c r="E88" s="7" t="s">
        <v>37</v>
      </c>
      <c r="F88" s="7" t="s">
        <v>38</v>
      </c>
      <c r="G88" s="7" t="s">
        <v>254</v>
      </c>
      <c r="H88" s="7" t="s">
        <v>255</v>
      </c>
      <c r="I88" s="8">
        <v>19</v>
      </c>
      <c r="J88" s="8">
        <v>1</v>
      </c>
      <c r="K88" s="8">
        <v>1</v>
      </c>
      <c r="L88" s="8">
        <v>0</v>
      </c>
      <c r="M88" s="8">
        <v>0</v>
      </c>
      <c r="N88" s="9">
        <f t="shared" si="2"/>
        <v>21</v>
      </c>
      <c r="O88" s="8">
        <v>5</v>
      </c>
      <c r="P88" s="8">
        <v>16</v>
      </c>
    </row>
    <row r="89" spans="1:16" ht="70" customHeight="1" x14ac:dyDescent="0.3">
      <c r="A89" s="10" t="s">
        <v>256</v>
      </c>
      <c r="B89" s="11" t="s">
        <v>250</v>
      </c>
      <c r="C89" s="11" t="s">
        <v>23</v>
      </c>
      <c r="D89" s="11" t="s">
        <v>24</v>
      </c>
      <c r="E89" s="11" t="s">
        <v>25</v>
      </c>
      <c r="F89" s="11" t="s">
        <v>26</v>
      </c>
      <c r="G89" s="11" t="s">
        <v>268</v>
      </c>
      <c r="H89" s="11" t="s">
        <v>257</v>
      </c>
      <c r="I89" s="12">
        <v>18</v>
      </c>
      <c r="J89" s="12">
        <v>0</v>
      </c>
      <c r="K89" s="12">
        <v>3</v>
      </c>
      <c r="L89" s="12">
        <v>0</v>
      </c>
      <c r="M89" s="12">
        <v>0</v>
      </c>
      <c r="N89" s="9">
        <f t="shared" si="2"/>
        <v>21</v>
      </c>
      <c r="O89" s="12">
        <v>8</v>
      </c>
      <c r="P89" s="12">
        <v>13</v>
      </c>
    </row>
    <row r="90" spans="1:16" ht="100" customHeight="1" x14ac:dyDescent="0.3">
      <c r="A90" s="6" t="s">
        <v>258</v>
      </c>
      <c r="B90" s="7" t="s">
        <v>250</v>
      </c>
      <c r="C90" s="7" t="s">
        <v>23</v>
      </c>
      <c r="D90" s="7" t="s">
        <v>24</v>
      </c>
      <c r="E90" s="7" t="s">
        <v>25</v>
      </c>
      <c r="F90" s="7" t="s">
        <v>26</v>
      </c>
      <c r="G90" s="7" t="s">
        <v>268</v>
      </c>
      <c r="H90" s="7" t="s">
        <v>259</v>
      </c>
      <c r="I90" s="8">
        <v>15</v>
      </c>
      <c r="J90" s="8">
        <v>0</v>
      </c>
      <c r="K90" s="8">
        <v>4</v>
      </c>
      <c r="L90" s="8">
        <v>0</v>
      </c>
      <c r="M90" s="8">
        <v>0</v>
      </c>
      <c r="N90" s="9">
        <f t="shared" si="2"/>
        <v>19</v>
      </c>
      <c r="O90" s="8">
        <v>13</v>
      </c>
      <c r="P90" s="8">
        <v>6</v>
      </c>
    </row>
    <row r="91" spans="1:16" ht="70" customHeight="1" x14ac:dyDescent="0.3">
      <c r="A91" s="10" t="s">
        <v>260</v>
      </c>
      <c r="B91" s="11" t="s">
        <v>250</v>
      </c>
      <c r="C91" s="11" t="s">
        <v>23</v>
      </c>
      <c r="D91" s="11" t="s">
        <v>24</v>
      </c>
      <c r="E91" s="11" t="s">
        <v>37</v>
      </c>
      <c r="F91" s="11" t="s">
        <v>38</v>
      </c>
      <c r="G91" s="11" t="s">
        <v>333</v>
      </c>
      <c r="H91" s="11" t="s">
        <v>261</v>
      </c>
      <c r="I91" s="12">
        <v>21</v>
      </c>
      <c r="J91" s="12">
        <v>2</v>
      </c>
      <c r="K91" s="12">
        <v>1</v>
      </c>
      <c r="L91" s="12">
        <v>0</v>
      </c>
      <c r="M91" s="12">
        <v>0</v>
      </c>
      <c r="N91" s="9">
        <f t="shared" si="2"/>
        <v>24</v>
      </c>
      <c r="O91" s="12">
        <v>9</v>
      </c>
      <c r="P91" s="12">
        <v>15</v>
      </c>
    </row>
    <row r="92" spans="1:16" ht="130" customHeight="1" x14ac:dyDescent="0.3">
      <c r="A92" s="6" t="s">
        <v>262</v>
      </c>
      <c r="B92" s="7" t="s">
        <v>250</v>
      </c>
      <c r="C92" s="7" t="s">
        <v>23</v>
      </c>
      <c r="D92" s="7" t="s">
        <v>24</v>
      </c>
      <c r="E92" s="7" t="s">
        <v>25</v>
      </c>
      <c r="F92" s="7" t="s">
        <v>26</v>
      </c>
      <c r="G92" s="7" t="s">
        <v>334</v>
      </c>
      <c r="H92" s="7" t="s">
        <v>263</v>
      </c>
      <c r="I92" s="8">
        <v>21</v>
      </c>
      <c r="J92" s="8">
        <v>0</v>
      </c>
      <c r="K92" s="8">
        <v>4</v>
      </c>
      <c r="L92" s="8">
        <v>0</v>
      </c>
      <c r="M92" s="8">
        <v>0</v>
      </c>
      <c r="N92" s="9">
        <f t="shared" si="2"/>
        <v>25</v>
      </c>
      <c r="O92" s="8">
        <v>14</v>
      </c>
      <c r="P92" s="8">
        <v>11</v>
      </c>
    </row>
    <row r="93" spans="1:16" ht="160" customHeight="1" x14ac:dyDescent="0.3">
      <c r="A93" s="10" t="s">
        <v>264</v>
      </c>
      <c r="B93" s="11" t="s">
        <v>250</v>
      </c>
      <c r="C93" s="11" t="s">
        <v>23</v>
      </c>
      <c r="D93" s="11" t="s">
        <v>24</v>
      </c>
      <c r="E93" s="11" t="s">
        <v>25</v>
      </c>
      <c r="F93" s="11" t="s">
        <v>112</v>
      </c>
      <c r="G93" s="11" t="s">
        <v>265</v>
      </c>
      <c r="H93" s="11" t="s">
        <v>266</v>
      </c>
      <c r="I93" s="12">
        <v>7</v>
      </c>
      <c r="J93" s="12">
        <v>0</v>
      </c>
      <c r="K93" s="12">
        <v>3</v>
      </c>
      <c r="L93" s="12">
        <v>0</v>
      </c>
      <c r="M93" s="12">
        <v>0</v>
      </c>
      <c r="N93" s="9">
        <f t="shared" si="2"/>
        <v>10</v>
      </c>
      <c r="O93" s="12">
        <v>1</v>
      </c>
      <c r="P93" s="12">
        <v>9</v>
      </c>
    </row>
    <row r="94" spans="1:16" ht="70" customHeight="1" x14ac:dyDescent="0.3">
      <c r="A94" s="6" t="s">
        <v>267</v>
      </c>
      <c r="B94" s="7" t="s">
        <v>250</v>
      </c>
      <c r="C94" s="7" t="s">
        <v>23</v>
      </c>
      <c r="D94" s="7" t="s">
        <v>24</v>
      </c>
      <c r="E94" s="7" t="s">
        <v>25</v>
      </c>
      <c r="F94" s="7" t="s">
        <v>26</v>
      </c>
      <c r="G94" s="7" t="s">
        <v>268</v>
      </c>
      <c r="H94" s="7" t="s">
        <v>269</v>
      </c>
      <c r="I94" s="8">
        <v>18</v>
      </c>
      <c r="J94" s="8">
        <v>0</v>
      </c>
      <c r="K94" s="8">
        <v>3</v>
      </c>
      <c r="L94" s="8">
        <v>0</v>
      </c>
      <c r="M94" s="8">
        <v>0</v>
      </c>
      <c r="N94" s="9">
        <f t="shared" si="2"/>
        <v>21</v>
      </c>
      <c r="O94" s="8">
        <v>14</v>
      </c>
      <c r="P94" s="8">
        <v>7</v>
      </c>
    </row>
    <row r="95" spans="1:16" ht="45" customHeight="1" x14ac:dyDescent="0.3">
      <c r="A95" s="10" t="s">
        <v>270</v>
      </c>
      <c r="B95" s="11" t="s">
        <v>250</v>
      </c>
      <c r="C95" s="11" t="s">
        <v>23</v>
      </c>
      <c r="D95" s="11" t="s">
        <v>24</v>
      </c>
      <c r="E95" s="11" t="s">
        <v>271</v>
      </c>
      <c r="F95" s="11" t="s">
        <v>272</v>
      </c>
      <c r="G95" s="11" t="s">
        <v>335</v>
      </c>
      <c r="H95" s="11" t="s">
        <v>273</v>
      </c>
      <c r="I95" s="12">
        <v>3</v>
      </c>
      <c r="J95" s="12">
        <v>0</v>
      </c>
      <c r="K95" s="12">
        <v>0</v>
      </c>
      <c r="L95" s="12">
        <v>0</v>
      </c>
      <c r="M95" s="12">
        <v>0</v>
      </c>
      <c r="N95" s="9">
        <f t="shared" si="2"/>
        <v>3</v>
      </c>
      <c r="O95" s="12">
        <v>0</v>
      </c>
      <c r="P95" s="12">
        <v>3</v>
      </c>
    </row>
    <row r="96" spans="1:16" ht="55" customHeight="1" x14ac:dyDescent="0.3">
      <c r="A96" s="6" t="s">
        <v>274</v>
      </c>
      <c r="B96" s="7" t="s">
        <v>250</v>
      </c>
      <c r="C96" s="7" t="s">
        <v>23</v>
      </c>
      <c r="D96" s="7" t="s">
        <v>24</v>
      </c>
      <c r="E96" s="7" t="s">
        <v>25</v>
      </c>
      <c r="F96" s="7" t="s">
        <v>26</v>
      </c>
      <c r="G96" s="7" t="s">
        <v>336</v>
      </c>
      <c r="H96" s="7" t="s">
        <v>275</v>
      </c>
      <c r="I96" s="8">
        <v>12</v>
      </c>
      <c r="J96" s="8">
        <v>0</v>
      </c>
      <c r="K96" s="8">
        <v>0</v>
      </c>
      <c r="L96" s="8">
        <v>0</v>
      </c>
      <c r="M96" s="8">
        <v>0</v>
      </c>
      <c r="N96" s="9">
        <f t="shared" si="2"/>
        <v>12</v>
      </c>
      <c r="O96" s="8">
        <v>4</v>
      </c>
      <c r="P96" s="8">
        <v>8</v>
      </c>
    </row>
    <row r="97" spans="1:16" ht="70" customHeight="1" x14ac:dyDescent="0.3">
      <c r="A97" s="10" t="s">
        <v>276</v>
      </c>
      <c r="B97" s="11" t="s">
        <v>250</v>
      </c>
      <c r="C97" s="11" t="s">
        <v>23</v>
      </c>
      <c r="D97" s="11" t="s">
        <v>33</v>
      </c>
      <c r="E97" s="11" t="s">
        <v>25</v>
      </c>
      <c r="F97" s="11" t="s">
        <v>26</v>
      </c>
      <c r="G97" s="11" t="s">
        <v>337</v>
      </c>
      <c r="H97" s="11" t="s">
        <v>277</v>
      </c>
      <c r="I97" s="12">
        <v>1</v>
      </c>
      <c r="J97" s="12">
        <v>1</v>
      </c>
      <c r="K97" s="12">
        <v>0</v>
      </c>
      <c r="L97" s="12">
        <v>0</v>
      </c>
      <c r="M97" s="12">
        <v>0</v>
      </c>
      <c r="N97" s="9">
        <f t="shared" si="2"/>
        <v>2</v>
      </c>
      <c r="O97" s="12">
        <v>0</v>
      </c>
      <c r="P97" s="12">
        <v>2</v>
      </c>
    </row>
    <row r="98" spans="1:16" ht="45" customHeight="1" x14ac:dyDescent="0.3">
      <c r="A98" s="6" t="s">
        <v>278</v>
      </c>
      <c r="B98" s="7" t="s">
        <v>250</v>
      </c>
      <c r="C98" s="7" t="s">
        <v>23</v>
      </c>
      <c r="D98" s="7" t="s">
        <v>24</v>
      </c>
      <c r="E98" s="7" t="s">
        <v>37</v>
      </c>
      <c r="F98" s="7" t="s">
        <v>38</v>
      </c>
      <c r="G98" s="7" t="s">
        <v>254</v>
      </c>
      <c r="H98" s="7" t="s">
        <v>279</v>
      </c>
      <c r="I98" s="8">
        <v>7</v>
      </c>
      <c r="J98" s="8">
        <v>1</v>
      </c>
      <c r="K98" s="8">
        <v>1</v>
      </c>
      <c r="L98" s="8">
        <v>0</v>
      </c>
      <c r="M98" s="8">
        <v>0</v>
      </c>
      <c r="N98" s="9">
        <f t="shared" ref="N98" si="3">SUM(I98:M98)</f>
        <v>9</v>
      </c>
      <c r="O98" s="8">
        <v>7</v>
      </c>
      <c r="P98" s="8">
        <v>2</v>
      </c>
    </row>
  </sheetData>
  <autoFilter ref="A1:P98" xr:uid="{00000000-0009-0000-0000-000000000000}"/>
  <phoneticPr fontId="4" type="noConversion"/>
  <printOptions horizontalCentered="1"/>
  <pageMargins left="0.75" right="0.75" top="1" bottom="1" header="0.5" footer="0.5"/>
  <pageSetup paperSize="8" fitToWidth="3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15" x14ac:dyDescent="0.3"/>
  <cols>
    <col min="1" max="1" width="35" customWidth="1"/>
    <col min="2" max="2" width="115" customWidth="1"/>
  </cols>
  <sheetData>
    <row r="1" spans="1:2" ht="36" customHeight="1" x14ac:dyDescent="0.3">
      <c r="A1" s="1" t="s">
        <v>280</v>
      </c>
      <c r="B1" s="1" t="s">
        <v>281</v>
      </c>
    </row>
    <row r="2" spans="1:2" ht="40" customHeight="1" x14ac:dyDescent="0.3">
      <c r="A2" s="13" t="s">
        <v>282</v>
      </c>
      <c r="B2" s="14" t="s">
        <v>283</v>
      </c>
    </row>
    <row r="3" spans="1:2" ht="70" customHeight="1" x14ac:dyDescent="0.3">
      <c r="A3" s="15" t="s">
        <v>284</v>
      </c>
      <c r="B3" s="16" t="s">
        <v>285</v>
      </c>
    </row>
    <row r="4" spans="1:2" ht="32.049999999999997" customHeight="1" x14ac:dyDescent="0.3">
      <c r="A4" s="13" t="s">
        <v>286</v>
      </c>
      <c r="B4" s="14" t="s">
        <v>287</v>
      </c>
    </row>
    <row r="5" spans="1:2" ht="32.049999999999997" customHeight="1" x14ac:dyDescent="0.3">
      <c r="A5" s="15" t="s">
        <v>288</v>
      </c>
      <c r="B5" s="16" t="s">
        <v>289</v>
      </c>
    </row>
    <row r="6" spans="1:2" ht="40" customHeight="1" x14ac:dyDescent="0.3">
      <c r="A6" s="13" t="s">
        <v>290</v>
      </c>
      <c r="B6" s="14" t="s">
        <v>291</v>
      </c>
    </row>
    <row r="7" spans="1:2" ht="32.049999999999997" customHeight="1" x14ac:dyDescent="0.3">
      <c r="A7" s="15" t="s">
        <v>292</v>
      </c>
      <c r="B7" s="17">
        <f>COUNTA('Study data'!A2:A98)</f>
        <v>97</v>
      </c>
    </row>
    <row r="8" spans="1:2" ht="32.049999999999997" customHeight="1" x14ac:dyDescent="0.3">
      <c r="A8" s="13" t="s">
        <v>293</v>
      </c>
      <c r="B8" s="18">
        <f>SUM('Study data'!N2:N98)</f>
        <v>1152</v>
      </c>
    </row>
    <row r="9" spans="1:2" ht="32.049999999999997" customHeight="1" x14ac:dyDescent="0.3">
      <c r="A9" s="15" t="s">
        <v>294</v>
      </c>
      <c r="B9" s="17">
        <v>878</v>
      </c>
    </row>
    <row r="10" spans="1:2" ht="40" customHeight="1" x14ac:dyDescent="0.3">
      <c r="A10" s="13" t="s">
        <v>295</v>
      </c>
      <c r="B10" s="14" t="s">
        <v>296</v>
      </c>
    </row>
    <row r="11" spans="1:2" ht="40" customHeight="1" x14ac:dyDescent="0.3">
      <c r="A11" s="15" t="s">
        <v>297</v>
      </c>
      <c r="B11" s="16" t="s">
        <v>298</v>
      </c>
    </row>
    <row r="12" spans="1:2" ht="40" customHeight="1" x14ac:dyDescent="0.3">
      <c r="A12" s="13" t="s">
        <v>299</v>
      </c>
      <c r="B12" s="14" t="s">
        <v>300</v>
      </c>
    </row>
    <row r="13" spans="1:2" ht="40" customHeight="1" x14ac:dyDescent="0.3">
      <c r="A13" s="15" t="s">
        <v>301</v>
      </c>
      <c r="B13" s="16" t="s">
        <v>302</v>
      </c>
    </row>
    <row r="14" spans="1:2" ht="32.049999999999997" customHeight="1" x14ac:dyDescent="0.3">
      <c r="A14" s="13" t="s">
        <v>303</v>
      </c>
      <c r="B14" s="14" t="s">
        <v>304</v>
      </c>
    </row>
    <row r="15" spans="1:2" ht="32.049999999999997" customHeight="1" x14ac:dyDescent="0.3">
      <c r="A15" s="19" t="s">
        <v>305</v>
      </c>
      <c r="B15" s="19" t="s">
        <v>306</v>
      </c>
    </row>
    <row r="16" spans="1:2" ht="40" customHeight="1" x14ac:dyDescent="0.3">
      <c r="A16" s="13" t="s">
        <v>0</v>
      </c>
      <c r="B16" s="14" t="s">
        <v>307</v>
      </c>
    </row>
    <row r="17" spans="1:2" ht="32.049999999999997" customHeight="1" x14ac:dyDescent="0.3">
      <c r="A17" s="15" t="s">
        <v>1</v>
      </c>
      <c r="B17" s="16" t="s">
        <v>308</v>
      </c>
    </row>
    <row r="18" spans="1:2" ht="32.049999999999997" customHeight="1" x14ac:dyDescent="0.3">
      <c r="A18" s="13" t="s">
        <v>2</v>
      </c>
      <c r="B18" s="14" t="s">
        <v>309</v>
      </c>
    </row>
    <row r="19" spans="1:2" ht="40" customHeight="1" x14ac:dyDescent="0.3">
      <c r="A19" s="15" t="s">
        <v>3</v>
      </c>
      <c r="B19" s="16" t="s">
        <v>310</v>
      </c>
    </row>
    <row r="20" spans="1:2" ht="40" customHeight="1" x14ac:dyDescent="0.3">
      <c r="A20" s="13" t="s">
        <v>4</v>
      </c>
      <c r="B20" s="14" t="s">
        <v>311</v>
      </c>
    </row>
    <row r="21" spans="1:2" ht="32.049999999999997" customHeight="1" x14ac:dyDescent="0.3">
      <c r="A21" s="15" t="s">
        <v>5</v>
      </c>
      <c r="B21" s="16" t="s">
        <v>312</v>
      </c>
    </row>
    <row r="22" spans="1:2" ht="40" customHeight="1" x14ac:dyDescent="0.3">
      <c r="A22" s="13" t="s">
        <v>6</v>
      </c>
      <c r="B22" s="14" t="s">
        <v>313</v>
      </c>
    </row>
    <row r="23" spans="1:2" ht="32.049999999999997" customHeight="1" x14ac:dyDescent="0.3">
      <c r="A23" s="15" t="s">
        <v>7</v>
      </c>
      <c r="B23" s="16" t="s">
        <v>314</v>
      </c>
    </row>
    <row r="24" spans="1:2" ht="32.049999999999997" customHeight="1" x14ac:dyDescent="0.3">
      <c r="A24" s="13" t="s">
        <v>8</v>
      </c>
      <c r="B24" s="14" t="s">
        <v>315</v>
      </c>
    </row>
    <row r="25" spans="1:2" ht="40" customHeight="1" x14ac:dyDescent="0.3">
      <c r="A25" s="15" t="s">
        <v>9</v>
      </c>
      <c r="B25" s="16" t="s">
        <v>316</v>
      </c>
    </row>
    <row r="26" spans="1:2" ht="40" customHeight="1" x14ac:dyDescent="0.3">
      <c r="A26" s="13" t="s">
        <v>10</v>
      </c>
      <c r="B26" s="14" t="s">
        <v>317</v>
      </c>
    </row>
    <row r="27" spans="1:2" ht="32.049999999999997" customHeight="1" x14ac:dyDescent="0.3">
      <c r="A27" s="15" t="s">
        <v>11</v>
      </c>
      <c r="B27" s="16" t="s">
        <v>318</v>
      </c>
    </row>
    <row r="28" spans="1:2" ht="32.049999999999997" customHeight="1" x14ac:dyDescent="0.3">
      <c r="A28" s="13" t="s">
        <v>12</v>
      </c>
      <c r="B28" s="14" t="s">
        <v>319</v>
      </c>
    </row>
    <row r="29" spans="1:2" ht="32.049999999999997" customHeight="1" x14ac:dyDescent="0.3">
      <c r="A29" s="15" t="s">
        <v>13</v>
      </c>
      <c r="B29" s="16" t="s">
        <v>320</v>
      </c>
    </row>
    <row r="30" spans="1:2" ht="32.049999999999997" customHeight="1" x14ac:dyDescent="0.3">
      <c r="A30" s="13" t="s">
        <v>14</v>
      </c>
      <c r="B30" s="14" t="s">
        <v>321</v>
      </c>
    </row>
    <row r="31" spans="1:2" ht="40" customHeight="1" x14ac:dyDescent="0.3">
      <c r="A31" s="15" t="s">
        <v>15</v>
      </c>
      <c r="B31" s="16" t="s">
        <v>322</v>
      </c>
    </row>
    <row r="32" spans="1:2" ht="32.049999999999997" customHeight="1" x14ac:dyDescent="0.3">
      <c r="A32" s="13" t="s">
        <v>16</v>
      </c>
      <c r="B32" s="14" t="s">
        <v>323</v>
      </c>
    </row>
    <row r="33" spans="1:2" ht="32.049999999999997" customHeight="1" x14ac:dyDescent="0.3">
      <c r="A33" s="15" t="s">
        <v>17</v>
      </c>
      <c r="B33" s="16" t="s">
        <v>324</v>
      </c>
    </row>
    <row r="34" spans="1:2" ht="40" customHeight="1" x14ac:dyDescent="0.3">
      <c r="A34" s="13" t="s">
        <v>18</v>
      </c>
      <c r="B34" s="14" t="s">
        <v>325</v>
      </c>
    </row>
    <row r="35" spans="1:2" ht="40" customHeight="1" x14ac:dyDescent="0.3">
      <c r="A35" s="15" t="s">
        <v>19</v>
      </c>
      <c r="B35" s="16" t="s">
        <v>326</v>
      </c>
    </row>
    <row r="36" spans="1:2" ht="40" customHeight="1" x14ac:dyDescent="0.3">
      <c r="A36" s="13" t="s">
        <v>20</v>
      </c>
      <c r="B36" s="14" t="s">
        <v>327</v>
      </c>
    </row>
  </sheetData>
  <phoneticPr fontId="4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Study data</vt:lpstr>
      <vt:lpstr>Field guide</vt:lpstr>
      <vt:lpstr>'Field guide'!Print_Titles</vt:lpstr>
      <vt:lpstr>'Study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youlong chen</cp:lastModifiedBy>
  <dcterms:created xsi:type="dcterms:W3CDTF">2026-10-05T05:20:02Z</dcterms:created>
  <dcterms:modified xsi:type="dcterms:W3CDTF">2026-10-06T05:03:39Z</dcterms:modified>
</cp:coreProperties>
</file>